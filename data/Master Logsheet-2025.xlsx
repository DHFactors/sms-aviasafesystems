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24226"/>
  <bookViews>
    <workbookView xWindow="-120" yWindow="-120" windowWidth="20610" windowHeight="11760" tabRatio="885"/>
  </bookViews>
  <sheets>
    <sheet name="Master logsheet 2025 working" sheetId="11" r:id="rId1"/>
    <sheet name="Occurrence-Log-sheet-2025 " sheetId="8" r:id="rId2"/>
    <sheet name="Safety deficiencies 2025" sheetId="13" r:id="rId3"/>
    <sheet name="Hazard-logsheet-2025" sheetId="12" r:id="rId4"/>
    <sheet name="Flight diversion report-2025" sheetId="14" r:id="rId5"/>
    <sheet name="Risk Register-sheet-2025" sheetId="2" r:id="rId6"/>
  </sheets>
  <definedNames>
    <definedName name="_xlnm._FilterDatabase" localSheetId="4" hidden="1">'Flight diversion report-2025'!$C$3:$M$44</definedName>
    <definedName name="_xlnm._FilterDatabase" localSheetId="3" hidden="1">'Hazard-logsheet-2025'!$E$4:$E$14</definedName>
    <definedName name="_xlnm._FilterDatabase" localSheetId="0" hidden="1">'Master logsheet 2025 working'!$K$2:$L$228</definedName>
    <definedName name="_xlnm._FilterDatabase" localSheetId="1" hidden="1">'Occurrence-Log-sheet-2025 '!$H$2:$H$23</definedName>
    <definedName name="_xlnm._FilterDatabase" localSheetId="2" hidden="1">'Safety deficiencies 2025'!$F$4:$F$212</definedName>
    <definedName name="MSN_MoneyCentral_Investor_Currency_Rates" localSheetId="0">'Master logsheet 2025 working'!#REF!</definedName>
    <definedName name="_xlnm.Print_Titles" localSheetId="1">'Occurrence-Log-sheet-2025 '!$1:$3</definedName>
  </definedNames>
  <calcPr calcId="162913"/>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7" i="11" l="1"/>
  <c r="N20" i="11" l="1"/>
  <c r="N85" i="11" l="1"/>
  <c r="N38" i="11" l="1"/>
  <c r="N114" i="11" l="1"/>
  <c r="N144" i="11" l="1"/>
  <c r="N113" i="11" l="1"/>
  <c r="N112" i="11" l="1"/>
  <c r="N111" i="11" l="1"/>
  <c r="N110" i="11" l="1"/>
  <c r="N109" i="11" l="1"/>
  <c r="N108" i="11" l="1"/>
  <c r="N105" i="11" l="1"/>
  <c r="N74" i="11" l="1"/>
  <c r="N103" i="11" l="1"/>
  <c r="N84" i="11" l="1"/>
  <c r="N81" i="11" l="1"/>
  <c r="N64" i="11" l="1"/>
  <c r="N66" i="11"/>
  <c r="N67" i="11"/>
  <c r="N68" i="11"/>
  <c r="N69" i="11"/>
  <c r="N70" i="11"/>
  <c r="N71" i="11"/>
  <c r="N72" i="11"/>
  <c r="N73" i="11"/>
  <c r="N75" i="11"/>
  <c r="N76" i="11"/>
  <c r="N63" i="11"/>
  <c r="N65" i="11"/>
  <c r="N78" i="11" l="1"/>
  <c r="N80" i="11" l="1"/>
  <c r="N79" i="11" l="1"/>
  <c r="N77" i="11" l="1"/>
  <c r="N62" i="11" l="1"/>
  <c r="N61" i="11" l="1"/>
  <c r="N60" i="11" l="1"/>
  <c r="N57" i="11" l="1"/>
  <c r="N58" i="11"/>
  <c r="N59" i="11" l="1"/>
  <c r="N56" i="11" l="1"/>
  <c r="N55" i="11" l="1"/>
  <c r="N37" i="11" l="1"/>
  <c r="N36" i="11" l="1"/>
  <c r="N35" i="11" l="1"/>
  <c r="N33" i="11" l="1"/>
  <c r="N32" i="11" l="1"/>
  <c r="N31" i="11" l="1"/>
  <c r="N30" i="11"/>
  <c r="N29" i="11" l="1"/>
  <c r="N28" i="11"/>
  <c r="N27" i="11" l="1"/>
  <c r="N26" i="11" l="1"/>
  <c r="N25" i="11" l="1"/>
  <c r="N24" i="11" l="1"/>
  <c r="N23" i="11" l="1"/>
  <c r="N13" i="11"/>
  <c r="N22" i="11" l="1"/>
  <c r="N16" i="11" l="1"/>
  <c r="N10" i="11"/>
  <c r="N9" i="11"/>
  <c r="N8" i="11"/>
  <c r="N7" i="11"/>
  <c r="N6" i="11"/>
  <c r="N5" i="11"/>
  <c r="N4" i="11"/>
  <c r="N11" i="11"/>
  <c r="N15" i="11" l="1"/>
  <c r="N14" i="11" l="1"/>
  <c r="N12" i="11" l="1"/>
  <c r="A137" i="11"/>
</calcChain>
</file>

<file path=xl/connections.xml><?xml version="1.0" encoding="utf-8"?>
<connections xmlns="http://schemas.openxmlformats.org/spreadsheetml/2006/main">
  <connection id="1" odcFile="C:\Program Files (x86)\Microsoft Office\Office14\QUERIES\MSN MoneyCentral Investor Currency Rates.iqy" name="MSN MoneyCentral Investor Currency Rates" type="4" refreshedVersion="4" background="1">
    <webPr parsePre="1" consecutive="1" xl2000="1" url="http://moneycentral.msn.com/investor/external/excel/rates.asp" htmlFormat="all"/>
  </connection>
</connections>
</file>

<file path=xl/sharedStrings.xml><?xml version="1.0" encoding="utf-8"?>
<sst xmlns="http://schemas.openxmlformats.org/spreadsheetml/2006/main" count="3969" uniqueCount="917">
  <si>
    <t>CORPORATE SAFETY DEPARTMENT</t>
  </si>
  <si>
    <t>S.N</t>
  </si>
  <si>
    <t>Reported Date to CSD (dd/mm/yy)</t>
  </si>
  <si>
    <t>Occurance Date of report (dd/mm/yy)</t>
  </si>
  <si>
    <t>Sources of Information</t>
  </si>
  <si>
    <t xml:space="preserve">Report Description   </t>
  </si>
  <si>
    <t xml:space="preserve">Report Classifications </t>
  </si>
  <si>
    <t xml:space="preserve">Status </t>
  </si>
  <si>
    <t>Concerned department/Personnel</t>
  </si>
  <si>
    <t>Remarks</t>
  </si>
  <si>
    <t>OPEN status duration</t>
  </si>
  <si>
    <t xml:space="preserve">Occurrence </t>
  </si>
  <si>
    <t>Hazard</t>
  </si>
  <si>
    <t xml:space="preserve">Safety deficiency </t>
  </si>
  <si>
    <t xml:space="preserve">Diversion </t>
  </si>
  <si>
    <t>open</t>
  </si>
  <si>
    <t xml:space="preserve">                                                                                                                                                                                                                                                 </t>
  </si>
  <si>
    <t>Reported Date/  Date of Occ</t>
  </si>
  <si>
    <t>Occurrence  Code</t>
  </si>
  <si>
    <t>A/c Registration</t>
  </si>
  <si>
    <t>Occurrence Category</t>
  </si>
  <si>
    <t>Occ/ Hazrad Taxonomy</t>
  </si>
  <si>
    <t>Unsafe Event (Reported/Projected)</t>
  </si>
  <si>
    <t xml:space="preserve">Report  Prority Level (H/M/L) </t>
  </si>
  <si>
    <t>Recommended Action</t>
  </si>
  <si>
    <t xml:space="preserve">Concerned Department/ Personnel </t>
  </si>
  <si>
    <t xml:space="preserve">Risk Mitigation Status </t>
  </si>
  <si>
    <t xml:space="preserve">Remarks </t>
  </si>
  <si>
    <t xml:space="preserve">CSD Remarks </t>
  </si>
  <si>
    <t>Identified Hazard(if any)</t>
  </si>
  <si>
    <t xml:space="preserve">Safety Investigation /RCA Yes/No </t>
  </si>
  <si>
    <t>Corrective Action    Yes/No</t>
  </si>
  <si>
    <t>Date Activated</t>
  </si>
  <si>
    <t>Follow-up Date</t>
  </si>
  <si>
    <t>Date Completed (Open/ Closed)</t>
  </si>
  <si>
    <t xml:space="preserve">CORPORATE SAFETY DEPARTMENT </t>
  </si>
  <si>
    <t>SN</t>
  </si>
  <si>
    <t>Reported Date/Occurrence date</t>
  </si>
  <si>
    <t>Hazard(H)</t>
  </si>
  <si>
    <t>Unsafe Event (UE) (Reported/Projected)</t>
  </si>
  <si>
    <t>Report prority Level (H/M/L)</t>
  </si>
  <si>
    <t xml:space="preserve">Responsible for mitigating Action  </t>
  </si>
  <si>
    <t>Status (Open/ Closed)        Date completed</t>
  </si>
  <si>
    <t>CSD Remarks</t>
  </si>
  <si>
    <t xml:space="preserve">Sources of infromation </t>
  </si>
  <si>
    <t>Hazard code/ID</t>
  </si>
  <si>
    <t>Taxonomy-   Type of Area/ Operation/ Equipment</t>
  </si>
  <si>
    <t>SRM Action (Yes/No)</t>
  </si>
  <si>
    <t>Corrective Action (Yes/No)</t>
  </si>
  <si>
    <t>Reported Date/ Date of occurrence</t>
  </si>
  <si>
    <t>Hazard (H)</t>
  </si>
  <si>
    <t>Potential Consequence (Reported/Projected)</t>
  </si>
  <si>
    <t>Status (Open/ Closed Date completed</t>
  </si>
  <si>
    <t>Taxonomy-       Type of Area/ Operation/ Equipment</t>
  </si>
  <si>
    <t>Specific components of the generic Hazard</t>
  </si>
  <si>
    <t xml:space="preserve">CORPORATE  SAFETY DEPARTMENT </t>
  </si>
  <si>
    <t xml:space="preserve">Date of Occurrence </t>
  </si>
  <si>
    <t>Flight Number</t>
  </si>
  <si>
    <t xml:space="preserve">Departure time(Local time) </t>
  </si>
  <si>
    <t>Flight Sector      (From-To)</t>
  </si>
  <si>
    <t xml:space="preserve">Diverted to </t>
  </si>
  <si>
    <t xml:space="preserve">Reason  of diversion </t>
  </si>
  <si>
    <t>Crew set</t>
  </si>
  <si>
    <t>Duty FOO</t>
  </si>
  <si>
    <t>Aircraft Registration</t>
  </si>
  <si>
    <t xml:space="preserve">   </t>
  </si>
  <si>
    <t>Hazard ID</t>
  </si>
  <si>
    <t>SRM Date</t>
  </si>
  <si>
    <t xml:space="preserve">Ultimate Consequence </t>
  </si>
  <si>
    <t>Existing Risk</t>
  </si>
  <si>
    <t>Resultant Risk</t>
  </si>
  <si>
    <t xml:space="preserve">Concerned Department </t>
  </si>
  <si>
    <t>Severity</t>
  </si>
  <si>
    <t>Probability</t>
  </si>
  <si>
    <t>Risk Index</t>
  </si>
  <si>
    <t>Risk Tolerability</t>
  </si>
  <si>
    <t>Follow-up</t>
  </si>
  <si>
    <t>Date completed</t>
  </si>
  <si>
    <t>Master  Log sheet File -2025</t>
  </si>
  <si>
    <t>Safety deficiencies Registration Logsheet -2025</t>
  </si>
  <si>
    <t>Aircraft Diversion record Logsheet-2025</t>
  </si>
  <si>
    <t>SRM Risk Register sheet-2025</t>
  </si>
  <si>
    <t>21/1/2025</t>
  </si>
  <si>
    <t xml:space="preserve">VSR </t>
  </si>
  <si>
    <t>✔</t>
  </si>
  <si>
    <t>Organizational- Facilities</t>
  </si>
  <si>
    <t>SA-ORG-01-25</t>
  </si>
  <si>
    <t>L</t>
  </si>
  <si>
    <t>No</t>
  </si>
  <si>
    <t xml:space="preserve">Yes </t>
  </si>
  <si>
    <t>Corporate Department</t>
  </si>
  <si>
    <t>Open</t>
  </si>
  <si>
    <t xml:space="preserve">It was Reported that there was Missing of  First Aid/ Medical Kit in Block B Sita Air head Office </t>
  </si>
  <si>
    <t xml:space="preserve">It was reported that during high-power engine ground runs, the exhaust was directed towards the line office by other operators, resulting in excessive noise pollution. Although the line office is secured, the noise level made it difficult for employees to remain and work in the office.
</t>
  </si>
  <si>
    <t>24/1/2025</t>
  </si>
  <si>
    <t>SA-ORG-02-25</t>
  </si>
  <si>
    <t>CAAN/ NAST</t>
  </si>
  <si>
    <t xml:space="preserve">A finding has been observed regarding the weighing machine calibration from a recent inspection. Despite periodic notification from the Corporate Safety Department through VSRs, Audit reports, Spot checks, this issue of weighing machine calibration is still prevalent. This poses a serious risk in our flight safety while severely violating the regulatory requirement of up-to-date calibrated weighing machines. </t>
  </si>
  <si>
    <t>Business Operations/Corporate Department/Ground Handling</t>
  </si>
  <si>
    <t>M</t>
  </si>
  <si>
    <t>Organizational-Documentation, Processes and Procedures</t>
  </si>
  <si>
    <t>Business Operations /Ground Handling</t>
  </si>
  <si>
    <t>SA-ORG-04-25</t>
  </si>
  <si>
    <t>It was reported that during post flight inspection after KTM-LUA-KTM Flight , Kerosene traces was observed on aircraft compartment floor mat , upon interrogation a red colour bag was found completely wetted with keroseneand a cooking stovewas visible from a hoke in the bag.</t>
  </si>
  <si>
    <t xml:space="preserve">it was reported that instructor and check pilot being the the same individual </t>
  </si>
  <si>
    <t>SA-ORG-05-25</t>
  </si>
  <si>
    <t>Yes</t>
  </si>
  <si>
    <t xml:space="preserve">Operations Department </t>
  </si>
  <si>
    <t>IOM</t>
  </si>
  <si>
    <t>H</t>
  </si>
  <si>
    <t>Closed</t>
  </si>
  <si>
    <t>closed</t>
  </si>
  <si>
    <t>follow - up on 23 feb 2025</t>
  </si>
  <si>
    <t>Compromise the flight safety due to inadequate training evaluation</t>
  </si>
  <si>
    <t>D</t>
  </si>
  <si>
    <t>1D</t>
  </si>
  <si>
    <t>Acceptable</t>
  </si>
  <si>
    <t>N/A</t>
  </si>
  <si>
    <t>Flight Operations Department</t>
  </si>
  <si>
    <t xml:space="preserve">Memo issued by Flight OPS Dept </t>
  </si>
  <si>
    <t>Hazard Registration Logsheet -2025</t>
  </si>
  <si>
    <t>The placards have deteriorated and there were not enough essentail placards</t>
  </si>
  <si>
    <t>Paints coating on several areas of aircraft 9N-AJH surface has been worn away</t>
  </si>
  <si>
    <t>The quilted blanket of 9N-AJH was worn out</t>
  </si>
  <si>
    <t>The tool house was damaged by corrosion and there was no identification tag on it</t>
  </si>
  <si>
    <t>There was no identificatiob tag on the fire extinguisher of tool house</t>
  </si>
  <si>
    <t>Air compressor machine is not in the equipment list</t>
  </si>
  <si>
    <t>Number of tools is greater than the provided list at KEP station tool box</t>
  </si>
  <si>
    <t>Quality Audit (KEP station</t>
  </si>
  <si>
    <t>Engineering department</t>
  </si>
  <si>
    <t xml:space="preserve">It was reported that instructor and check pilot being the the same individual </t>
  </si>
  <si>
    <t>SA-ORG-03-25</t>
  </si>
  <si>
    <t>SA-ORG-06-25</t>
  </si>
  <si>
    <t>SA-ORG-07-25</t>
  </si>
  <si>
    <t>SA-ORG-08-25</t>
  </si>
  <si>
    <t>SA-ORG-09-25</t>
  </si>
  <si>
    <t>SA-ORG-10-25</t>
  </si>
  <si>
    <t>SA-ORG-11-25</t>
  </si>
  <si>
    <t>Technical</t>
  </si>
  <si>
    <t>It was reported that during post flight inspection after KTM-LUA-KTM Flight , Kerosene traces was observed on aircraft compartmentn floor mat , upon interrogation a red colour bag was found completely wetted with keroseneand a cooking stovewas visible from a hoke in the bag.</t>
  </si>
  <si>
    <t>Valuable passengers of today's flight were very unhappy and irritated due to delay and cancellation of flight due to late arrival of crew. Also, it was observed that Tara and summit flights took off in time. The marketing and operations usually mention the reason of delay of flight specially when their is Engineering requirements but today it seems like they tried to escape their own sheer negligence. The delay reporting in Sita Air viber group by marketing/ops dept. is rigged as they don't report delay due to ops/marketing lapses and targets Engineering dept only.</t>
  </si>
  <si>
    <t>Business Operations/Flight Operations</t>
  </si>
  <si>
    <t>SA-ORG-12-25</t>
  </si>
  <si>
    <t xml:space="preserve">Suggestion from VSR: Crew should be stand by at airport for flight. </t>
  </si>
  <si>
    <t>It was reported that sita air is one of safety airlines in Nepal soo there should be more than more fligh in remote area as just like bajura,mugu,jumla,simikot as soon as possible ,we are heartly thankful for sita air family !!</t>
  </si>
  <si>
    <t>Suggestion from VSR:  to add more sectoral flights</t>
  </si>
  <si>
    <t>follow - up on 28 March 2025</t>
  </si>
  <si>
    <t>Lack of independent assessment and increased operational risk</t>
  </si>
  <si>
    <t>Compromise the flight safety due to inadequate training evaluation and increased operational risk during check ride</t>
  </si>
  <si>
    <t>Potential bias or compromised evaluation integrity and increased safety risk due to check ride being conducted in actaul aircraft</t>
  </si>
  <si>
    <t>It was reported that there needs to conduct  Instructor Pilot Check Ride for Commercial Operations</t>
  </si>
  <si>
    <t>IOR</t>
  </si>
  <si>
    <t>SA-Occ-01-2025</t>
  </si>
  <si>
    <t>9N-AIE</t>
  </si>
  <si>
    <t>incident</t>
  </si>
  <si>
    <t xml:space="preserve">Technical-SCF-NP </t>
  </si>
  <si>
    <t>it was reported that smoke emission from the battery during scheduled maintenance on 25th Feb, 2025 in 9N-AIE aircraft at KTM station.</t>
  </si>
  <si>
    <t>YES</t>
  </si>
  <si>
    <t xml:space="preserve">Engineering Department </t>
  </si>
  <si>
    <t xml:space="preserve">It was reported that  there was an incident involving 9N-AJH on where the left engine experienced a sudden loss of power during the run-up and reported a hazard status.
</t>
  </si>
  <si>
    <t>SA-ORG-13-25</t>
  </si>
  <si>
    <t>SA/01/2025</t>
  </si>
  <si>
    <t>Compromised flight safety due to inadequate evaluation and increased operational risk during check ride</t>
  </si>
  <si>
    <t>Flight Diversion Report</t>
  </si>
  <si>
    <t>It was reported KTM - LUA flight diverted due to wheather visibility below VFR normal</t>
  </si>
  <si>
    <t xml:space="preserve">STA-621 </t>
  </si>
  <si>
    <t xml:space="preserve">Capt Bharat Thapa F/O Sabin Pandey          A/H Shila Adhikari                </t>
  </si>
  <si>
    <t>KTM</t>
  </si>
  <si>
    <t>LUA</t>
  </si>
  <si>
    <t xml:space="preserve">Weather Visibility </t>
  </si>
  <si>
    <t>KTM - LUA flight diverted due to wheather visibility below VFR normal</t>
  </si>
  <si>
    <t>-</t>
  </si>
  <si>
    <t>Sita Air</t>
  </si>
  <si>
    <t xml:space="preserve">It was reported that, an employee from another airline/operator was found working at the Sita Air check-in counter. </t>
  </si>
  <si>
    <t>Business Operations Department</t>
  </si>
  <si>
    <t>SA-ORG-14-25</t>
  </si>
  <si>
    <t xml:space="preserve">Business Operations Department </t>
  </si>
  <si>
    <t>It has been identified that there is a requirement for Personal Protective Equipment (PPE) for maintenance personnel due to potential health risks associated with exposure to hazardous chemicals used in aircraft maintenance.</t>
  </si>
  <si>
    <t>SA-ORG-15-25</t>
  </si>
  <si>
    <t xml:space="preserve">Corporate Department </t>
  </si>
  <si>
    <t>It was reported after 2 mins on IFR departure from KTM proceding aircraft to Lukla diverted due to enroute weather. So, it was decided to divert the aircraft back to  KTM  did VOR RWY 02 approach</t>
  </si>
  <si>
    <t xml:space="preserve">Enroute Weather  </t>
  </si>
  <si>
    <t xml:space="preserve">Capt R Dangol        F/O Sabin Pandey          A/H Neha Tamang                </t>
  </si>
  <si>
    <t xml:space="preserve">STA-601 'D' </t>
  </si>
  <si>
    <t xml:space="preserve">It was reported that flight diverted from 3nm East of Likhu due to enroute weather reported by preceding traffics </t>
  </si>
  <si>
    <t xml:space="preserve">STA-621 'D' </t>
  </si>
  <si>
    <t>9N-AJH</t>
  </si>
  <si>
    <t xml:space="preserve">Capt D. Giri             F/O Rupesh K.C.            A/H Geetanjali Shrestha           </t>
  </si>
  <si>
    <t>It was reported that during Lukla Season the movement ofr people is observed Maximum nearby aircraft after starting engine or during flight engine running staff from other airlines dragging trolley nearby in the station of Lukla and Kathmandu</t>
  </si>
  <si>
    <t>Business Operations</t>
  </si>
  <si>
    <t xml:space="preserve">Business Operations </t>
  </si>
  <si>
    <t>SA-ORG-16-25</t>
  </si>
  <si>
    <t>VSR</t>
  </si>
  <si>
    <t>Technical-SCF-NP (NAV)</t>
  </si>
  <si>
    <t>It  was reported that During  second flight from LUK to RCP, at waypoint 105 DADA, aircraft  suddenly encountered traffic at the same altitude. The aircraft in question, identified as DD MI-17 helicopter, was flying northbound at 11,500 feet but was not following the designated river track.As we crossed paths, the helicopter was at the same level, positioned to the west of our aircraft. We had no prior traffic information, as we were in the takeoff phase and performing after-takeoff checks. The sudden presence of reciprocal traffic at less than one mile separation created a highly critical situation.The helicopter was visible both visually and on our TCAS, but it did not have Mode C enabled. To avoid a potential collision, we had to take immediate corrective action by altering our course to the left.Fortunately, the weather conditions were clear and calm with good visibility, allowing us to see and avoid the traffic in time. However, the lack of prior traffic information and the helicopter’s deviation from the expected route posed a significant safety risk.</t>
  </si>
  <si>
    <t>NO</t>
  </si>
  <si>
    <t>Ensure proper traffic advisories and real-time coordination.
Enforce adherence to established flight routes, especially in congested areas.Emphasize the importance of transponder Mode C activation for all aircraft.</t>
  </si>
  <si>
    <t>It was reported that There was no driver on duty for air side vehicle
Thus spare parts and equipments needed for aircraft maintenance had to be carried by hand to the apron area</t>
  </si>
  <si>
    <t>SA-ORG-17-25</t>
  </si>
  <si>
    <t>SA-ORG-18-25</t>
  </si>
  <si>
    <t xml:space="preserve">Flight Operations </t>
  </si>
  <si>
    <t>It has been reported that a coffee spillage occurred in the cockpit of aircraft 9N-AHR . While the incident did not result in any immediate operational disturbances or equipment malfunctions, it highlights several potential safety risks that require attention.</t>
  </si>
  <si>
    <t xml:space="preserve">Flight Operations Department </t>
  </si>
  <si>
    <t>SA-ORG-19-25</t>
  </si>
  <si>
    <t xml:space="preserve">It was reported that there are too many mosquito in the aircraft cabin and cockpit area in KEP station </t>
  </si>
  <si>
    <t>It was reported that there are too many mosquito in the aircraft cabin and cockpit area in KEP station</t>
  </si>
  <si>
    <t xml:space="preserve">Engineering Department  </t>
  </si>
  <si>
    <t xml:space="preserve"> Engineering Department </t>
  </si>
  <si>
    <t>SA-ORG-20-25</t>
  </si>
  <si>
    <t xml:space="preserve">It was reported that side window of aircraft AIE is not good to look </t>
  </si>
  <si>
    <t xml:space="preserve">It was reported issue regarding slow internet connectivity in mobile phones that is affecting the timely and efficient execution of duties.The current instability and slowness of the connection are resulting difficulty in performing essential tasks.
</t>
  </si>
  <si>
    <t>SA-ORG-21-25</t>
  </si>
  <si>
    <t>It was reported that During a routine inspection at RHP Airport on 07 April 2025, loose stones were found near Parking Bay 5 where an aircraft was parked. A visual inspection confirmed no damage to the aircraft, but the presence of stones raises safety and security concerns, possibly due to the low perimeter fencing allowing external access. As a precaution, Parking Bay 5 has been temporarily avoided for night parking.</t>
  </si>
  <si>
    <t>SA-ORG-22-25</t>
  </si>
  <si>
    <t xml:space="preserve">Corporate Department/IT  </t>
  </si>
  <si>
    <t xml:space="preserve">Corporate Department /IT </t>
  </si>
  <si>
    <t xml:space="preserve">Business Operations/Flight Operations </t>
  </si>
  <si>
    <t>It was reported that during flight STA-623D, traveling from Phaplu to Kathmandu. It was observed that a passenger, who was not listed on any load sheet or in the Viber messages, exited the aircraft during the landing in Kathmandu.Upon further investigation, it was revealed that the passenger in question is the sister of Captain of Sita Air.  It was also noted that this passenger had been flown from Ramechhap to Phaplu and subsequently from Phaplu to Kathmandu.  as it involves an unaccounted-for passenger, which could pose potential operational and safety concerns</t>
  </si>
  <si>
    <t>SA-ORG-23-25</t>
  </si>
  <si>
    <t xml:space="preserve">It was reported that flight STA -927 on RHP-LUA sector, upon reaching S.Phaplu tower advised the crew that airport was closed due wind : SW/13kts. So, flight diverted from Phaplu to KTM due to Lukla wind </t>
  </si>
  <si>
    <t>STA- 927</t>
  </si>
  <si>
    <t>RHP</t>
  </si>
  <si>
    <t>Flight diverted due Lukla wind</t>
  </si>
  <si>
    <t xml:space="preserve">Capt D.K Sah             F/O Rupesh K.C.            A/H Cristina Malla           </t>
  </si>
  <si>
    <t>9N-AHR</t>
  </si>
  <si>
    <t xml:space="preserve">On RHP-LUA sector, upon reaching S.Phaplu tower advised the crew that airport was closed due wind : SW/13kts. So, flight diverted from Phaplu to KTM due to Lukla wind </t>
  </si>
  <si>
    <t>MOR</t>
  </si>
  <si>
    <t xml:space="preserve">During landing preperation in Ramechhap due to low Hydraulic pressure indication observed (LDG DN 3 Greegn ), Diverted to VNKT as per SOP to non STOL Airfield, followed by abnormal , checklist prodecure (POH, Section-3) After touch down, Stopped A/C on RWY &amp; carried out normal engine shutdown and carried out normal disembarkation </t>
  </si>
  <si>
    <t xml:space="preserve">MOR </t>
  </si>
  <si>
    <t>SA-Occ-02-2025</t>
  </si>
  <si>
    <t>SA-Occ-03-2025</t>
  </si>
  <si>
    <t>Aircraft Dioverted to non STOL Airfield due low HTD Prewssure indication</t>
  </si>
  <si>
    <t>Engineering Department /Flight Operations</t>
  </si>
  <si>
    <t>Engineering department/Flight Operations</t>
  </si>
  <si>
    <t>Diverted ro RHP due Lukla Airport closed, tailwind SW-15kts</t>
  </si>
  <si>
    <t xml:space="preserve">It was reported that aircraft was diverted due Lukla enroute weather as reported bt diverted Tara Air from east of Phaplu, due to heavy rain, cloudy and hazy </t>
  </si>
  <si>
    <t>STA-911</t>
  </si>
  <si>
    <t xml:space="preserve"> Due to heavy rain, cloudy and hazy </t>
  </si>
  <si>
    <t xml:space="preserve">Capt D.Giri              F/O P.K Mandal             A/H Neha Tamang          </t>
  </si>
  <si>
    <t>STA-621</t>
  </si>
  <si>
    <t xml:space="preserve">Due Lukla airport closed, Tailwind SW-15 kts </t>
  </si>
  <si>
    <t xml:space="preserve">Lukla airport closed, Tailwind SW-15 kts </t>
  </si>
  <si>
    <t xml:space="preserve">During landing preperation in Ramechhap due to low Hydraulic pressure indication observed (LDG DN 3 Green ), Diverted to VNKT as per SOP to non STOL Airfield, followed by abnormal , checklist prodecure (POH, Section-3) After touch down, Stopped A/C on RWY &amp; carried out normal engine shutdown and carried out normal disembarkation </t>
  </si>
  <si>
    <t xml:space="preserve">It was reported that Passenger and ground handling staff miscound at Ramechhap station </t>
  </si>
  <si>
    <t>SA-ORG-24-25</t>
  </si>
  <si>
    <t xml:space="preserve">It was reported that aircraft was diverted to KTM due to low Hydraulic pressure indication </t>
  </si>
  <si>
    <t xml:space="preserve">STA- 916 </t>
  </si>
  <si>
    <t>due low hydraulic pressure indication</t>
  </si>
  <si>
    <t xml:space="preserve">Capt Bharat. Thapa             F/O K. Pachhai             A/H Neha Tamang          </t>
  </si>
  <si>
    <t>Flight was diverted because eof Lukla airport arrival close due to tail winds 13 kts</t>
  </si>
  <si>
    <t xml:space="preserve">STA- 611 </t>
  </si>
  <si>
    <t>due tail winds 13 kts</t>
  </si>
  <si>
    <t xml:space="preserve">Capt. S. Kunwar            F/O P.K. Mandal            A/H Geetanjali Shrestha        </t>
  </si>
  <si>
    <t>Safety Inspection (RHP station)</t>
  </si>
  <si>
    <t>SA-ORG-25-25</t>
  </si>
  <si>
    <t xml:space="preserve">AME identification was not found valid </t>
  </si>
  <si>
    <t>SA-ORG-26-25</t>
  </si>
  <si>
    <t>SA-ORG-27-25</t>
  </si>
  <si>
    <t xml:space="preserve">It was reported that the current morning transportation setup, involving only one bus and one driver, is insufficient. The bus reaches full capacity at both arrival and departure times, resulting in overcrowding and operational strain. A review of the arrangement is recommended.
</t>
  </si>
  <si>
    <t>It was reported that During maintenance activity, Helper Binod B.K sustained an injury due to negligence by the responsible engineer. The incident occurred while performing schedule maintenance, during which standard safety protocols were not followed. The engineer failed to ensure the work area was safe and did not properly supervise the procedure, leading to the helper's injury. At that time shift incharge was Mr. D. Thapa.</t>
  </si>
  <si>
    <t>SA-ORG-28-25</t>
  </si>
  <si>
    <t>SA-Occ-04-2025</t>
  </si>
  <si>
    <t>MED</t>
  </si>
  <si>
    <t xml:space="preserve">incident </t>
  </si>
  <si>
    <t xml:space="preserve">It was reported that miscommunication and mismanagement inside Flight operation and Business Operations  department  on a recent peak-season day, all Sita Air flights were cancelled around 12:00 PM, despite the availability of two standby crew sets and Lukla Airport reopening at 14:00 Hrs. This premature cancellation, without proper coordination, marked a serious oversight by the Operations and Marketing Departments.
Despite a call from the Lukla Station In-Charge to resume flights, no action was taken, while Tara Air and Summit Air completed their operations successfully. This incident led to an estimated loss of NPR 30–40 Lakhs during a critical revenue period.
It has also been noted that the Corporate and Safety Departments have shown consistent leniency toward these departments, potentially enabling such errors. Given the company’s current financial strain, including delayed salary payments, this issue must be urgently investigated and addressed.
This matter has been forwarded to top management for further review.
</t>
  </si>
  <si>
    <t>Safety Inspection (LUA station)</t>
  </si>
  <si>
    <t>Training records of the staff were not satisfactorily maintained however Training records of Station Manager, Ground handling staffs was not maintained as per CAP.</t>
  </si>
  <si>
    <t>Baggage weighing was available however calibration was only valid up to 2023.</t>
  </si>
  <si>
    <t>Corporate Department /Business Operations</t>
  </si>
  <si>
    <t xml:space="preserve">Newly recruited staff was not provided with proper indoctrination and system training </t>
  </si>
  <si>
    <t>Approved CAAN authorization page letter not found on CAME (soft copy/hard).</t>
  </si>
  <si>
    <t xml:space="preserve">CAMO Department </t>
  </si>
  <si>
    <t xml:space="preserve">JD doesn’t align ground support staff  which was issued same day but reference number of JD is found different for the same person </t>
  </si>
  <si>
    <t>Station in charge JD doesn’t line up with letter promotions and appointment</t>
  </si>
  <si>
    <t>Unique dress code for technical staffs was not maintained</t>
  </si>
  <si>
    <t xml:space="preserve">145 Engineering/Corporate Department </t>
  </si>
  <si>
    <t>Cargo log book was not properly maintained</t>
  </si>
  <si>
    <t>First aid training for technical staffs was not done</t>
  </si>
  <si>
    <t>Training Department/CAMO</t>
  </si>
  <si>
    <t>Required documentation, specifically the SMS Manual Issue 02, Revision 01, was not available.</t>
  </si>
  <si>
    <t>The Operations Manual has not been signed by the Director of Flight Operations (DFO), which is a required endorsement.</t>
  </si>
  <si>
    <t>The Aircraft Universal Precaution Kit(UPK) was found to have been relocated from its designated storage position</t>
  </si>
  <si>
    <t>Business Operations/AVSEC</t>
  </si>
  <si>
    <t>AVSEC Manual was not found</t>
  </si>
  <si>
    <t>CAMO Department</t>
  </si>
  <si>
    <t xml:space="preserve">Training Department/ CAMO </t>
  </si>
  <si>
    <t>Safety Inspection(LUA)</t>
  </si>
  <si>
    <t>Safety Inspection(RHP)</t>
  </si>
  <si>
    <t>SA-ORG-29-25</t>
  </si>
  <si>
    <t>SA-ORG-30-25</t>
  </si>
  <si>
    <t>SA-ORG-31-25</t>
  </si>
  <si>
    <t>SA-ORG-32-25</t>
  </si>
  <si>
    <t>SA-ORG-33-25</t>
  </si>
  <si>
    <t>SA-ORG-34-25</t>
  </si>
  <si>
    <t>SA-ORG-35-25</t>
  </si>
  <si>
    <t>SA-ORG-36-25</t>
  </si>
  <si>
    <t>SA-ORG-37-25</t>
  </si>
  <si>
    <t>SA-ORG-38-25</t>
  </si>
  <si>
    <t>SA-ORG-39-25</t>
  </si>
  <si>
    <t>SA-ORG-40-25</t>
  </si>
  <si>
    <t xml:space="preserve">It was reported that miscommunication and mismanagement inside Flight operation and Business Operations  department  on a recent peak-season day, all Sita Air flights were cancelled around 12:00 PM, despite the availability of two standby crew sets and Lukla Airport reopening at 14:00 Hrs. This premature cancellation, without proper coordination, marked a serious oversight by the Operations and Marketing Departments.
Despite a call from the Lukla Station In-Charge to resume flights, no action was taken, while Tara Air and Summit Air completed their operations successfully. This incident led to an estimated loss of NPR 30–40 Lakhs during a critical revenue period.It has also been noted that the Corporate and Safety Departments have shown consistent leniency toward these departments, potentially enabling such errors. Given the company’s current financial strain, including delayed salary payments, this issue must be urgently investigated and addressed.This matter has been forwarded to top management for further review.
</t>
  </si>
  <si>
    <t xml:space="preserve">YES </t>
  </si>
  <si>
    <t xml:space="preserve">The investigation report has been submitted by Engineering Department </t>
  </si>
  <si>
    <t xml:space="preserve">It was reported that fkight from VNKT to VNKL flight STA 621 diverted to VNRC due enroutr weather from meast of VNPL, 9500 ft altitude dues dudhkoshi track covered up </t>
  </si>
  <si>
    <t>due enroute weather from east of VNPL</t>
  </si>
  <si>
    <t xml:space="preserve">Capt.A.P Pradhan          Capt. S. Guragain            A/H N. Tamang      </t>
  </si>
  <si>
    <t>SRM request (IOM)</t>
  </si>
  <si>
    <t>Closed but monitoring for CAA authorization page</t>
  </si>
  <si>
    <t xml:space="preserve">It was reported that the fire extinguishes on the way to finance department is completely depressurized . Needed to Change the fire extinguisher, immediately. </t>
  </si>
  <si>
    <t>SA-ORG-41-25</t>
  </si>
  <si>
    <t xml:space="preserve">It was reported that the flight from VNKT to VNLK diverted backl to VNKT due Lukla airport closed due LUA wind 12kts-14kts &amp; increasing tendency </t>
  </si>
  <si>
    <t>STA-603</t>
  </si>
  <si>
    <t xml:space="preserve">Due LUA wind 12kts-14kts &amp; increasing tendency </t>
  </si>
  <si>
    <t xml:space="preserve">Capt Bharat. Thapa             F/O K. Pachhai             A/H D. Adhikari          </t>
  </si>
  <si>
    <t>It was reported that the  current Aviation Security (AvSec) Manager at Sita Air may not meet the qualifications required for the role</t>
  </si>
  <si>
    <t>SA-ORG-42-25</t>
  </si>
  <si>
    <t xml:space="preserve">Initial Assessment has been carried out hydraulic motor malfunction was suspected . Hydraulic pump along with motor will be replaced , Hydraulic motor routine inspection will be effectively monitored by QA Mangaer </t>
  </si>
  <si>
    <t>SRM for Jomsom Operation</t>
  </si>
  <si>
    <t xml:space="preserve">key set on engineering toolbox was maintained however alternate means is not proper to identify the missing component. </t>
  </si>
  <si>
    <t>Engineering Department</t>
  </si>
  <si>
    <t>SA-ORG-43-25</t>
  </si>
  <si>
    <t xml:space="preserve">It was reported that, a corporate chief was observed wearing a shirt identical to the cabin crew uniform. As per standard operating procedures and industry norms, the cabin crew uniform is designated specifically for operating flight crew members and serves multiple purposes  including operational identity, passenger recognition, and safety compliance. Wearing such attire by non-operational staff, especially those not involved in flight duties may unintentionally lead to confusion among airport authorities, or audit personnel. </t>
  </si>
  <si>
    <t>SA-ORG-44-25</t>
  </si>
  <si>
    <t xml:space="preserve">It was reported that recent staff transfers, particularly into the Flight Operations Department, have raised concerns about team motivation and internal coordination. Notably, Miss Chimouriya was transferred without prior consultation with existing staff, which has caused unease.
Additionally, concerns were expressed regarding salary alignment between administrative and flight operations officers, as equal pay despite differing responsibilities may lead to dissatisfaction.
If such practices continue without review, they may impact staff morale and operational effectiveness. A consultative approach, clearer role-based distinctions, and a feedback mechanism are recommended to address these issues.
</t>
  </si>
  <si>
    <t xml:space="preserve">NO      </t>
  </si>
  <si>
    <t>SA-ORG-45-25</t>
  </si>
  <si>
    <t xml:space="preserve">Memo has given provided by Flight Operations Department  </t>
  </si>
  <si>
    <t>SA/03/2025</t>
  </si>
  <si>
    <t xml:space="preserve">Closed </t>
  </si>
  <si>
    <t xml:space="preserve">Jomsom Air Operation SRM </t>
  </si>
  <si>
    <t xml:space="preserve">battery removed from aircraft and checked particularily one area heated and found and cool down slowely fault battrery replaced with servicable unit. More carefulness and safety precaution needed while carrying out this type of job. </t>
  </si>
  <si>
    <t>It was reported thyat Cabin crew new creame shirt material is fire hazard which poses OHS risk.</t>
  </si>
  <si>
    <t>SA-ORG-46-25</t>
  </si>
  <si>
    <t xml:space="preserve">It was reported that, Corporate chief was observed wearing a shirt identical to the cabin crew uniform. As per standard operating procedures and industry norms, the cabin crew uniform is designated specifically for operating flight crew members and serves multiple purposes  including operational identity, passenger recognition, and safety compliance. Wearing such attire by non-operational staff, especially those not involved in flight duties may unintentionally lead to confusion among airport authorities, or audit personnel. </t>
  </si>
  <si>
    <t xml:space="preserve">Circular issued by 145 department regarding unique dress code </t>
  </si>
  <si>
    <t xml:space="preserve">Circular Issued by AMO department </t>
  </si>
  <si>
    <t>Delay salary affects the employees mental health, leading to stress, low motivation and reduced focus on work. Its important for management to consider this for overall staff well-being.</t>
  </si>
  <si>
    <t>SA-ORG-47-25</t>
  </si>
  <si>
    <t xml:space="preserve">SRM regarding PPC flight of Capt. Ajay Pradhan </t>
  </si>
  <si>
    <t>Risk of aerodrome operations of Jomsom due to airport not being operated for more than 6 months</t>
  </si>
  <si>
    <t>follow - up on 16 June 2025</t>
  </si>
  <si>
    <t>Limited experience of Instructor Pilot in conducting pilot checks</t>
  </si>
  <si>
    <t xml:space="preserve">IP may show inconsistent judgment </t>
  </si>
  <si>
    <t xml:space="preserve">Partial evaluation of pilot competencies risking operational safety </t>
  </si>
  <si>
    <t>follow - up on 07 July 2025</t>
  </si>
  <si>
    <t>Unprepared flight Plan may create problems leading to limited information to operate flight for Flight operationsin emergency conditions</t>
  </si>
  <si>
    <t xml:space="preserve">CAP submitted by Flight Ops </t>
  </si>
  <si>
    <t>It was reported that several operational concerns have arisen at Nepalgunj Station regarding Station In-Charge Mr. Sandeep Bhandari. These include repeated instances of unprofessional and discourteous behavior towards staff, lack of teamwork, irregular duty attendance—particularly during morning hours—resulting in delayed operational readiness, and consistent delays in communicating critical flight-related information such as departure updates, crew coordination, and disruption notices, all of which are impacting efficiency and staff morale.</t>
  </si>
  <si>
    <t>SA-ORG-48-25</t>
  </si>
  <si>
    <t>SA-ORG-49-25</t>
  </si>
  <si>
    <t>It has been reported that there was a power outage at the KEP station, which significantly impacted operational efficiency</t>
  </si>
  <si>
    <t>SA-ORG-50-25</t>
  </si>
  <si>
    <t xml:space="preserve">It was reported that unofficial individuals have been staying at the Nepalgunj marketing office for an extended period. Their presence and unprofessional behavior, including improper gestures, have created discomfort among the official staff.
</t>
  </si>
  <si>
    <t>It was reported that unofficial individuals have been staying at the Nepalgunj marketing office for an extended period. Their presence and unprofessional behavior, including improper gestures, have created discomfort among the official staff.</t>
  </si>
  <si>
    <t>It was noticed that in Bajura weighing machine calibration issue has been identified with the calibration of the weighing machine currently in use at . The readings appear to be inconsistent and may not reflect accurate measurements</t>
  </si>
  <si>
    <t xml:space="preserve">It was reported that recent staff transfers, particularly into the Flight Operations Department, have raised concerns about team motivation and internal coordination. Notably, Miss Chimouriya was transferred without prior consultation with existing staff, which has caused unease.Additionally, concerns were expressed regarding salary alignment between administrative and flight operations officers, as equal pay despite differing responsibilities may lead to dissatisfaction.
If such practices continue without review, they may impact staff morale and operational effectiveness. A consultative approach, clearer role-based distinctions, and a feedback mechanism are recommended to address these issues.
</t>
  </si>
  <si>
    <t xml:space="preserve">Fule Leakage was observed on RH wing 9N-AJH at IMK station </t>
  </si>
  <si>
    <t xml:space="preserve">Incident </t>
  </si>
  <si>
    <t>Damaged anchor nut and missing screw were installed sealing of access panel 222-1 was carried out AW AMM 51-20-10. Leak check was carried out and was found satisfactory</t>
  </si>
  <si>
    <t>Formatting issue observed in the Standard Operating Procedure (SOP); the footer was incorrectly placed at the top of the document</t>
  </si>
  <si>
    <t xml:space="preserve">Safety Audit KEP </t>
  </si>
  <si>
    <t>An outdated version of the SEEP Manual (Issue 02, Revision 01) was found during the inspection</t>
  </si>
  <si>
    <t xml:space="preserve">Operations Manual Part D was found to be outdated and not updated to the latest approved revision
</t>
  </si>
  <si>
    <r>
      <rPr>
        <sz val="7"/>
        <color theme="1"/>
        <rFont val="Times New Roman"/>
        <family val="1"/>
      </rPr>
      <t xml:space="preserve">     </t>
    </r>
    <r>
      <rPr>
        <sz val="12"/>
        <color theme="1"/>
        <rFont val="Times New Roman"/>
        <family val="1"/>
      </rPr>
      <t>Flight operations crew attendance records were available; however, check-out times were not documented</t>
    </r>
  </si>
  <si>
    <t>Load and Trim Sheet records were maintained; however, the monthly filing and arrangement of the documents were found to be disorganized.</t>
  </si>
  <si>
    <r>
      <rPr>
        <sz val="7"/>
        <color theme="1"/>
        <rFont val="Times New Roman"/>
        <family val="1"/>
      </rPr>
      <t xml:space="preserve">  </t>
    </r>
    <r>
      <rPr>
        <sz val="12"/>
        <color theme="1"/>
        <rFont val="Times New Roman"/>
        <family val="1"/>
      </rPr>
      <t>Cargo log book was not properly maintained.</t>
    </r>
  </si>
  <si>
    <t>MOE Revision 04 was not updated in the Technical Publications report at KEP station</t>
  </si>
  <si>
    <t>Circulars related to Corporate Department were found in Operations Department Circular File; the circular file was not maintained properly, and circulars for 2024 were missing and undocumented.</t>
  </si>
  <si>
    <r>
      <rPr>
        <sz val="7"/>
        <color theme="1"/>
        <rFont val="Times New Roman"/>
        <family val="1"/>
      </rPr>
      <t xml:space="preserve">  </t>
    </r>
    <r>
      <rPr>
        <sz val="12"/>
        <color theme="1"/>
        <rFont val="Times New Roman"/>
        <family val="1"/>
      </rPr>
      <t>POH DO228-202K (9N-AHB) was not updated in the Technical Publications at KEP station.</t>
    </r>
  </si>
  <si>
    <t>The Spring Box Assembly (CMM Spring Box Temporary Revision) was not updated</t>
  </si>
  <si>
    <r>
      <rPr>
        <sz val="7"/>
        <color theme="1"/>
        <rFont val="Times New Roman"/>
        <family val="1"/>
      </rPr>
      <t xml:space="preserve">    </t>
    </r>
    <r>
      <rPr>
        <sz val="12"/>
        <color theme="1"/>
        <rFont val="Times New Roman"/>
        <family val="1"/>
      </rPr>
      <t>Minimum Equipment List (MEL) Issue 06 was not updated at KEP station.</t>
    </r>
  </si>
  <si>
    <r>
      <rPr>
        <sz val="7"/>
        <color theme="1"/>
        <rFont val="Times New Roman"/>
        <family val="1"/>
      </rPr>
      <t xml:space="preserve">  </t>
    </r>
    <r>
      <rPr>
        <sz val="12"/>
        <color theme="1"/>
        <rFont val="Times New Roman"/>
        <family val="1"/>
      </rPr>
      <t>Attendance sheet for Business Operations staff at Nepalgunj was not satisfactorily maintained.</t>
    </r>
  </si>
  <si>
    <t xml:space="preserve">Emergency contact person information was not available at KEP station for Business Operations Department </t>
  </si>
  <si>
    <t xml:space="preserve">There was lack of proper dangerous good rejection by staff at Check-in counter </t>
  </si>
  <si>
    <r>
      <rPr>
        <sz val="7"/>
        <color theme="1"/>
        <rFont val="Times New Roman"/>
        <family val="1"/>
      </rPr>
      <t xml:space="preserve">     </t>
    </r>
    <r>
      <rPr>
        <sz val="12"/>
        <color theme="1"/>
        <rFont val="Times New Roman"/>
        <family val="1"/>
      </rPr>
      <t>Records for VIP firearm forms and unaccompanied minors were not found</t>
    </r>
  </si>
  <si>
    <t>Attendance records of Business Operations and Ground Handling were not maintained in accordance with standard office hours</t>
  </si>
  <si>
    <r>
      <rPr>
        <sz val="7"/>
        <color theme="1"/>
        <rFont val="Times New Roman"/>
        <family val="1"/>
      </rPr>
      <t xml:space="preserve">  </t>
    </r>
    <r>
      <rPr>
        <sz val="12"/>
        <color theme="1"/>
        <rFont val="Times New Roman"/>
        <family val="1"/>
      </rPr>
      <t>Circulars No. 1, 2, and 3 were found missing in Business Operations Office at KEP station; only Circular No. 4 was available. Circulars were not maintained as per Standards</t>
    </r>
  </si>
  <si>
    <t>Check-in procedure was not briefed and was found unsatisfactory during the inspection</t>
  </si>
  <si>
    <t>Some Ground Support staff was issued job descriptions (JDs) in English, which they cannot read, yet they acknowledged receipt</t>
  </si>
  <si>
    <r>
      <rPr>
        <sz val="7"/>
        <color theme="1"/>
        <rFont val="Times New Roman"/>
        <family val="1"/>
      </rPr>
      <t> </t>
    </r>
    <r>
      <rPr>
        <sz val="12"/>
        <color theme="1"/>
        <rFont val="Times New Roman"/>
        <family val="1"/>
      </rPr>
      <t>During the review of the MOE manual, handwritten cross marks were observed. These pen markings indicate non-compliance with standard documentation practices and compromise the integrity of the manual</t>
    </r>
  </si>
  <si>
    <t>The seat cover of aircraft 9N-AHR was found to be torn</t>
  </si>
  <si>
    <r>
      <rPr>
        <sz val="7"/>
        <color theme="1"/>
        <rFont val="Times New Roman"/>
        <family val="1"/>
      </rPr>
      <t xml:space="preserve">      </t>
    </r>
    <r>
      <rPr>
        <sz val="12"/>
        <color theme="1"/>
        <rFont val="Times New Roman"/>
        <family val="1"/>
      </rPr>
      <t>Duty roster of Business Operations at KEP station is not satisfactorily maintained, leading to inconsistencies in staff scheduling</t>
    </r>
  </si>
  <si>
    <t>It was observed that safety cones were not used consistently at KEP Station, which presents a safety hazard and increases the risk of ground incidents</t>
  </si>
  <si>
    <r>
      <rPr>
        <sz val="7"/>
        <color theme="1"/>
        <rFont val="Times New Roman"/>
        <family val="1"/>
      </rPr>
      <t xml:space="preserve">      </t>
    </r>
    <r>
      <rPr>
        <sz val="12"/>
        <color theme="1"/>
        <rFont val="Times New Roman"/>
        <family val="1"/>
      </rPr>
      <t>The Aircraft Weighing Report maintained by the Operations Department does not match the actual approved report</t>
    </r>
  </si>
  <si>
    <r>
      <rPr>
        <sz val="7"/>
        <color theme="1"/>
        <rFont val="Times New Roman"/>
        <family val="1"/>
      </rPr>
      <t xml:space="preserve"> </t>
    </r>
    <r>
      <rPr>
        <sz val="12"/>
        <color theme="1"/>
        <rFont val="Times New Roman"/>
        <family val="1"/>
      </rPr>
      <t>Flight Crew and Cabin Crew were observed not using ramp jackets as requirement while on Apron</t>
    </r>
  </si>
  <si>
    <r>
      <rPr>
        <sz val="7"/>
        <color theme="1"/>
        <rFont val="Times New Roman"/>
        <family val="1"/>
      </rPr>
      <t xml:space="preserve">    </t>
    </r>
    <r>
      <rPr>
        <sz val="12"/>
        <color theme="1"/>
        <rFont val="Times New Roman"/>
        <family val="1"/>
      </rPr>
      <t>Meeting minutes were not prepared or properly documented as per the established standards.</t>
    </r>
  </si>
  <si>
    <r>
      <rPr>
        <sz val="7"/>
        <color theme="1"/>
        <rFont val="Times New Roman"/>
        <family val="1"/>
      </rPr>
      <t xml:space="preserve">  </t>
    </r>
    <r>
      <rPr>
        <sz val="12"/>
        <color theme="1"/>
        <rFont val="Times New Roman"/>
        <family val="1"/>
      </rPr>
      <t>Detention records were not maintained at KEP station.</t>
    </r>
  </si>
  <si>
    <t xml:space="preserve">An outdated Ground Handling Manual (Edition: 11 April 2014) was found in the Operations Office at KEP station NCF- Level 2. </t>
  </si>
  <si>
    <t xml:space="preserve">Open </t>
  </si>
  <si>
    <t xml:space="preserve">AVSEC Department </t>
  </si>
  <si>
    <r>
      <rPr>
        <sz val="7"/>
        <color theme="1"/>
        <rFont val="Times New Roman"/>
        <family val="1"/>
      </rPr>
      <t xml:space="preserve">  </t>
    </r>
    <r>
      <rPr>
        <sz val="12"/>
        <color theme="1"/>
        <rFont val="Times New Roman"/>
        <family val="1"/>
      </rPr>
      <t>An outdated Dangerous Goods Manual (Revision 01, dated 6th April 2018) was found in the Operations Office at KEP station.  NCF- Level 2.</t>
    </r>
  </si>
  <si>
    <t xml:space="preserve"> An outdated version of the Aviation Security Program was found during the inspection. NCF- Level 2.</t>
  </si>
  <si>
    <t>Formatting issue observed in the Standard Operating Procedure (SOP); the footer was incorrectly placed at the top of the document NCF- Level 2.</t>
  </si>
  <si>
    <t xml:space="preserve">Operations Manual Part D was found to be outdated and not updated to the latest approved revision NCF- Level 2.
</t>
  </si>
  <si>
    <t>Business Operations/Ground Handling</t>
  </si>
  <si>
    <t xml:space="preserve">145 Engineering Department </t>
  </si>
  <si>
    <t>CAMO/Technical Library</t>
  </si>
  <si>
    <t>There was lack of proper dangerous good rejection by staff at Check-in counter OBS- Level 2</t>
  </si>
  <si>
    <r>
      <rPr>
        <sz val="7"/>
        <color theme="1"/>
        <rFont val="Times New Roman"/>
        <family val="1"/>
      </rPr>
      <t xml:space="preserve"> </t>
    </r>
    <r>
      <rPr>
        <sz val="12"/>
        <color theme="1"/>
        <rFont val="Times New Roman"/>
        <family val="1"/>
      </rPr>
      <t>Flight Crew and Cabin Crew were observed not using ramp jackets as requirement while on Apron  SRC- Level 2</t>
    </r>
  </si>
  <si>
    <t xml:space="preserve">It has been reported that 9N-AJH Take-off speed Card on right hand side of the Cockpit is unreadable to cockpit crew. </t>
  </si>
  <si>
    <t>Quality Audit(Internal)</t>
  </si>
  <si>
    <t>MM &amp; CA Manager Details were not updated as per latest revision Issue 04 Rev03.</t>
  </si>
  <si>
    <t>MOE 1.4.17 Terms of Reference (JD) of Charge Hand, Maintenance staff was not updated.</t>
  </si>
  <si>
    <t>Training Certificates of maintenance Staffs were not updated.</t>
  </si>
  <si>
    <t xml:space="preserve">MOE-1.7.2 Man hour plan, Analysis was not done for production planning and AMO. </t>
  </si>
  <si>
    <t>Layout of Ramechhap line Station missing. Layout form number in MOE 1.8 is not updated.</t>
  </si>
  <si>
    <t>Production Planning meeting has not been conducted.</t>
  </si>
  <si>
    <t>Production Planner has not maintained Techlog register record.</t>
  </si>
  <si>
    <t>MOE 2.1.5.3 supplier past performance analysis, supplier follow up sheet has not been done.</t>
  </si>
  <si>
    <t>MOE 2.2.4 Material Receiving sticker 2.3.3.6 is not is use.</t>
  </si>
  <si>
    <t>Instead of store record book bin cards has been in use, which is not formally approved under MOE &amp; SPM.</t>
  </si>
  <si>
    <t>MOE 2.3.1 Smoke Detector and Fire extinguisher is not included in the layout.</t>
  </si>
  <si>
    <t>Unsalvageable Components disposal procedure has not been complied since July 2024.</t>
  </si>
  <si>
    <t>MAT conductivity record of MAT No: 11 are missing in ESDS Facility.</t>
  </si>
  <si>
    <t>Personal record files for the technical staff were discovered to be incomplete. During a random sampling, it was found that the staff record of store has not been updated.</t>
  </si>
  <si>
    <t>Training records of the certifying and non-certifying staff found to be not updated. This is non compliance as per MOE 3.5.</t>
  </si>
  <si>
    <t>Competency assessment records of support staff could not be found. This is non compliance as per MOE 3.14</t>
  </si>
  <si>
    <t>Manpower resources review every three month hasn’t been conducted.</t>
  </si>
  <si>
    <t>SA-ORG-51-25</t>
  </si>
  <si>
    <t>SA-ORG-52-25</t>
  </si>
  <si>
    <t>SA-ORG-53-25</t>
  </si>
  <si>
    <t>SA-ORG-54-25</t>
  </si>
  <si>
    <t>SA-ORG-55-25</t>
  </si>
  <si>
    <t>SA-ORG-56-25</t>
  </si>
  <si>
    <t>SA-ORG-57-25</t>
  </si>
  <si>
    <t>SA-ORG-58-25</t>
  </si>
  <si>
    <t>SA-ORG-59-25</t>
  </si>
  <si>
    <t>SA-ORG-60-25</t>
  </si>
  <si>
    <t>SA-ORG-61-25</t>
  </si>
  <si>
    <t>SA-ORG-62-25</t>
  </si>
  <si>
    <t>SA-ORG-63-25</t>
  </si>
  <si>
    <t>SA-ORG-64-25</t>
  </si>
  <si>
    <t>SA-ORG-65-25</t>
  </si>
  <si>
    <t>SA-ORG-66-25</t>
  </si>
  <si>
    <t>SA-ORG-67-25</t>
  </si>
  <si>
    <t>SA-ORG-70-25</t>
  </si>
  <si>
    <t>SA-ORG-72-25</t>
  </si>
  <si>
    <t>SA-ORG-71-25</t>
  </si>
  <si>
    <t>SA-ORG-73-25</t>
  </si>
  <si>
    <t>SA-ORG-74-25</t>
  </si>
  <si>
    <t>SA-ORG-75-25</t>
  </si>
  <si>
    <t>SA-ORG-76-25</t>
  </si>
  <si>
    <t>SA-ORG-77-25</t>
  </si>
  <si>
    <t>SA-ORG-78-25</t>
  </si>
  <si>
    <t>SA-ORG-79-25</t>
  </si>
  <si>
    <t>SA-ORG-80-25</t>
  </si>
  <si>
    <t>SA-ORG-81-25</t>
  </si>
  <si>
    <t>SA-ORG-82-25</t>
  </si>
  <si>
    <t>SA-ORG-83-25</t>
  </si>
  <si>
    <t>SA-ORG-84-25</t>
  </si>
  <si>
    <t>SA-ORG-85-25</t>
  </si>
  <si>
    <t>SA-ORG-86-25</t>
  </si>
  <si>
    <t>SA-ORG-87-25</t>
  </si>
  <si>
    <t>SA-ORG-88-25</t>
  </si>
  <si>
    <t>SA-ORG-89-25</t>
  </si>
  <si>
    <t>SA-ORG-90-25</t>
  </si>
  <si>
    <t>SA-ORG-91-25</t>
  </si>
  <si>
    <t>SA-ORG-92-25</t>
  </si>
  <si>
    <t>SA-ORG-93-25</t>
  </si>
  <si>
    <t>SA-ORG-94-25</t>
  </si>
  <si>
    <t>SA-ORG-95-25</t>
  </si>
  <si>
    <t>SA-ORG-96-25</t>
  </si>
  <si>
    <t>SA-ORG-97-25</t>
  </si>
  <si>
    <t>SA-ORG-98-25</t>
  </si>
  <si>
    <t>SA-ORG-99-25</t>
  </si>
  <si>
    <t>It was reported that the Ram Air system is ineffective during high temperatures, leading to poor cockpit airflow. As a result, pilots are experiencing increased fatigue, reduced situational awareness, and impaired decision-making, which may affect flight safety.</t>
  </si>
  <si>
    <t>SA-ORG-100-25</t>
  </si>
  <si>
    <t>Aircraft weighing Report has Been Submitted By CAMO</t>
  </si>
  <si>
    <t xml:space="preserve">ST A- 401 </t>
  </si>
  <si>
    <t xml:space="preserve">KEP </t>
  </si>
  <si>
    <t>JUM</t>
  </si>
  <si>
    <t xml:space="preserve">Due JUM airport closed </t>
  </si>
  <si>
    <t xml:space="preserve">Capt D. Giri             F/O P.K. Mandal                 </t>
  </si>
  <si>
    <t>It was reported that Flight Mo. STA-401 from KEP to JUM diverted back to KEP due to Jumla airport Closed</t>
  </si>
  <si>
    <t xml:space="preserve">It was reported that Flight from IMK to KEP. During take off Birds were found on the take off path </t>
  </si>
  <si>
    <t>SA-Occ-06-2025</t>
  </si>
  <si>
    <t xml:space="preserve">BIRD                     </t>
  </si>
  <si>
    <t>Operations department and ASSD/ CAAN</t>
  </si>
  <si>
    <t xml:space="preserve">Training of CAMO staff was not done as per CAME 0.3.7 </t>
  </si>
  <si>
    <t xml:space="preserve">the update records of CAMO and engineering staff was not maintained as per CAME 0.3.6.6 (13) </t>
  </si>
  <si>
    <t xml:space="preserve">MEL cards was not available </t>
  </si>
  <si>
    <t xml:space="preserve">The definition of repetitive defect as per CAME 1.8.5 and 1.10.2 is different, making it unclear </t>
  </si>
  <si>
    <t xml:space="preserve">History inspection card of 9N-AJH (2400 Hrs) was missing </t>
  </si>
  <si>
    <t>Error entries in the log book were not correct as per CAME 1.3.3.6 (m) and log book guidelines</t>
  </si>
  <si>
    <t xml:space="preserve">The trace of the transcriber is missing in the log books </t>
  </si>
  <si>
    <t>There is no record of destruction or meeting minutes, even though the process requires approval from the CA and QM Manager every six months as per CAME 1.3.3.8</t>
  </si>
  <si>
    <t xml:space="preserve">Reliability program of (Nov 2024, Dec 2024 &amp; Jan 2025 ) has not been conducted </t>
  </si>
  <si>
    <t xml:space="preserve">the information sources and data collection for reliability program i.e., CAME 1.10.4 &amp; CMP 1.7, is not as per NCAR M, AMC M.A. 302 (f) </t>
  </si>
  <si>
    <t xml:space="preserve"> Engineering judgement scheme is not provided in the reliability program of CAME &amp; CMP </t>
  </si>
  <si>
    <t xml:space="preserve">As per CAME 1.4.2 (c) Monitoring of AD should be done by form 1.6.1.2, but there isn't any form as mentioned </t>
  </si>
  <si>
    <t xml:space="preserve">CAME 1.2.2.5 for fuel contamination check, para 1.11.9 is addressed. But, there is no any section 1.11.9 in the CAME </t>
  </si>
  <si>
    <t xml:space="preserve"> ABBREVIATIONS ( DVI, GVI, HST, NDT, LUB, SDI) used in the task type is undefined in CMP 1.12 &amp; 1.13 </t>
  </si>
  <si>
    <t>In TPM 1.4.2 training division chart, symbol for coordinating channel is missing</t>
  </si>
  <si>
    <t xml:space="preserve">The trainer list and courses authorized to, in TPM is not updated </t>
  </si>
  <si>
    <t xml:space="preserve">In house trainer approval was not done as per Part 4 TPM </t>
  </si>
  <si>
    <t>Department failed to conduct Training as per approved training plan .</t>
  </si>
  <si>
    <t>SA-ORG-68-25</t>
  </si>
  <si>
    <t>SA-ORG-69-25</t>
  </si>
  <si>
    <t>SA-ORG-101-25</t>
  </si>
  <si>
    <t>SA-ORG-102-25</t>
  </si>
  <si>
    <t>SA-ORG-103-25</t>
  </si>
  <si>
    <t>SA-ORG-104-25</t>
  </si>
  <si>
    <t>SA-ORG-105-25</t>
  </si>
  <si>
    <t>SA-ORG-106-25</t>
  </si>
  <si>
    <t>SA-ORG-107-25</t>
  </si>
  <si>
    <t>SA-ORG-108-25</t>
  </si>
  <si>
    <t>SA-ORG-109-25</t>
  </si>
  <si>
    <t>SA-ORG-110-25</t>
  </si>
  <si>
    <t>SA-ORG-111-25</t>
  </si>
  <si>
    <t>SA-ORG-112-25</t>
  </si>
  <si>
    <t>SA-ORG-113-25</t>
  </si>
  <si>
    <t>SA-ORG-114-25</t>
  </si>
  <si>
    <t>SA-ORG-115-25</t>
  </si>
  <si>
    <t>SA-ORG-116-25</t>
  </si>
  <si>
    <t>SA-ORG-117-25</t>
  </si>
  <si>
    <t>SA-ORG-118-25</t>
  </si>
  <si>
    <t>It was reported that Flight STA - 503 from KEP to IMK was diverted back to KEP from 30 nm due to IMK airport closed due fog lift off</t>
  </si>
  <si>
    <t>STA- 503</t>
  </si>
  <si>
    <t>KEP</t>
  </si>
  <si>
    <t>IMK</t>
  </si>
  <si>
    <t xml:space="preserve">diverted due IMK airport closed </t>
  </si>
  <si>
    <t xml:space="preserve">Capt Bharat. Thapa             F/O R.K.C                A/H C. Malla         </t>
  </si>
  <si>
    <t>Lack of independent assessment during pilot training and checking</t>
  </si>
  <si>
    <t>MOC</t>
  </si>
  <si>
    <t xml:space="preserve">MOC </t>
  </si>
  <si>
    <t xml:space="preserve">Hidden pre-existing deviations or pending tasks not disclosed during CAMO Manager transition </t>
  </si>
  <si>
    <t xml:space="preserve">Corporate Safety Department </t>
  </si>
  <si>
    <t xml:space="preserve">Follow- up date 30 August </t>
  </si>
  <si>
    <t>2D</t>
  </si>
  <si>
    <t>SA/4/2025</t>
  </si>
  <si>
    <t>SA/05/2025</t>
  </si>
  <si>
    <t xml:space="preserve">Organizational Change - human factors- miscommunicatin within teams during </t>
  </si>
  <si>
    <t xml:space="preserve">Staff mis understanding new roles or responsibilities tasks not executed as intented </t>
  </si>
  <si>
    <t xml:space="preserve">Operational safety deviation delayed actions, reduced safety performance or error chain progression </t>
  </si>
  <si>
    <t xml:space="preserve">Memo issued by Corporate Department </t>
  </si>
  <si>
    <t xml:space="preserve">Lack of clarity or training in new procedures may result in inconsistent implementation and safety oversight gaps </t>
  </si>
  <si>
    <t xml:space="preserve">Misapplication or misinterpretation of new procedures by operational or technical staff </t>
  </si>
  <si>
    <t>Operational errors, documentation non-compliance, or reduced safety performance</t>
  </si>
  <si>
    <t>The newly appointed manager may not be fully familiar with the detailed requirements of CAAN regulations</t>
  </si>
  <si>
    <t>Inadequate interpretation or application of continuing airworthiness requirements</t>
  </si>
  <si>
    <t>Failure to meet CAAN compliance standards</t>
  </si>
  <si>
    <t>Quality Manager/CAMO Manager</t>
  </si>
  <si>
    <t>Failure to detect overdue maintenance tasks or unresolved audits during handover</t>
  </si>
  <si>
    <t>Compliance gap, ARC expiry, or undetected airworthiness issues</t>
  </si>
  <si>
    <t xml:space="preserve">Quality/ Corporate </t>
  </si>
  <si>
    <t xml:space="preserve">open </t>
  </si>
  <si>
    <t>SA/02 (A) 2025</t>
  </si>
  <si>
    <t>30/8/2025</t>
  </si>
  <si>
    <t>Quality/Corporate</t>
  </si>
  <si>
    <t>SA/02 (B) 2025</t>
  </si>
  <si>
    <t>SA/02 (C) 2025</t>
  </si>
  <si>
    <t>SA/02/(D)2025</t>
  </si>
  <si>
    <t>Quality/CAMO Manager</t>
  </si>
  <si>
    <t xml:space="preserve">Safety Survey </t>
  </si>
  <si>
    <t>Communication and promotion activities about the just culture and disciplinary action shall be increased</t>
  </si>
  <si>
    <t>IOM Request (SRM)</t>
  </si>
  <si>
    <t xml:space="preserve">SA- HZ-ORG-1 </t>
  </si>
  <si>
    <t>SA-HZ- ORG- 2(A)</t>
  </si>
  <si>
    <t>SA-HZ-ORG- 2(D)</t>
  </si>
  <si>
    <t>SA- HZ-ORG- 3</t>
  </si>
  <si>
    <t>SA- HZ-ORG-5</t>
  </si>
  <si>
    <t xml:space="preserve">Organizational Change - human factors- miscommunication within teams during </t>
  </si>
  <si>
    <t xml:space="preserve">Quality/corporate </t>
  </si>
  <si>
    <t>145 Engineering</t>
  </si>
  <si>
    <t>Wildlife</t>
  </si>
  <si>
    <t>Flights Operations/  Training</t>
  </si>
  <si>
    <t>SA-HZ- HUM- 2(B)</t>
  </si>
  <si>
    <t>SA-HZ- ORG- 2(C)</t>
  </si>
  <si>
    <t xml:space="preserve">Bird activities on take-off Path </t>
  </si>
  <si>
    <t>Stcker has been provide and weighing machine has been updated</t>
  </si>
  <si>
    <t>Dangerous goods Regulations recurrent training sheet provided by Business Operations</t>
  </si>
  <si>
    <t xml:space="preserve"> report of calibration has been provided</t>
  </si>
  <si>
    <t xml:space="preserve">Customer Care Training to be conducted in RHP </t>
  </si>
  <si>
    <t xml:space="preserve">Ramp safety training given </t>
  </si>
  <si>
    <t xml:space="preserve">CAAN issued Circular </t>
  </si>
  <si>
    <t xml:space="preserve">IOR </t>
  </si>
  <si>
    <t>SA-Occ-07-2025</t>
  </si>
  <si>
    <t>SA-Occ-08-2025</t>
  </si>
  <si>
    <t xml:space="preserve">GPS Occurrence in (9N-AHR ) GPS navigational issue </t>
  </si>
  <si>
    <t>Investigation has been conducted and interim safety recommendations has been established</t>
  </si>
  <si>
    <t>Technical-SCF-NP / NAV</t>
  </si>
  <si>
    <t xml:space="preserve">It was reported that that aircraft grouded at KEP station is not maintained with cleainess and not maintained safely </t>
  </si>
  <si>
    <t>SA-ORG-119-25</t>
  </si>
  <si>
    <t xml:space="preserve">Familirization flight Planning </t>
  </si>
  <si>
    <t xml:space="preserve">Report  </t>
  </si>
  <si>
    <t>This Hazard has been identified through Report</t>
  </si>
  <si>
    <t xml:space="preserve">Report </t>
  </si>
  <si>
    <t xml:space="preserve">traffic conflict </t>
  </si>
  <si>
    <t xml:space="preserve">technical-traffic conflict </t>
  </si>
  <si>
    <t xml:space="preserve">Internal reporting </t>
  </si>
  <si>
    <t>Aircraft encountered unannounced reciprocal traffic (MI-17 helicopter) at the same altitude and less than one-mile separation, without prior ATC traffic information. Helicopter was off the designated route and Mode C transponder was not active, requiring immediate evasive maneuver to avoid collision.</t>
  </si>
  <si>
    <t>The incident could have led to a mid-air collision, excessive maneuvering causing potential structural stress or passenger injury, severe operational disruption, regulatory investigation, legal liabilities, and serious reputational damage to the operator.</t>
  </si>
  <si>
    <t>Route deviation by the helicopter, lack of ATC traffic information, inoperative Mode C, and reciprocal traffic at the same altitude with inadequate separation, requiring excessive evasive manoeuvring.</t>
  </si>
  <si>
    <t>GPS on aircraft 9N-AHR failed to display waypoints during operation, limiting navigation reference data for the flight crew</t>
  </si>
  <si>
    <t>Loss of situational awareness and navigation accuracy, increased pilot workload, potential deviation from planned route, and elevated risk of airspace infringement or controlled flight into terrain (CFIT), especially in poor weather or low visibility conditions</t>
  </si>
  <si>
    <t>Investigation has been conducted and interim safety recommendations has been established for monitoring</t>
  </si>
  <si>
    <t xml:space="preserve">No way points displayed on the GPS on 9N-AHR due to Gap in SOP and training for the GPS NAV Data Card </t>
  </si>
  <si>
    <t xml:space="preserve">Technical Hazard </t>
  </si>
  <si>
    <t>During landing preparation at Ramechhap, a low hydraulic pressure indication was observed, prompting the crew to divert to VNKT, a non-STOL airfield, in accordance with SOP. The abnormal checklist procedure from POH Section-3 was carried out, and after touchdown the aircraft was stopped on the runway for safety, followed by a normal engine shutdown and passenger disembarkation.</t>
  </si>
  <si>
    <t>in-flight hydraulic system low-pressure indication, which could have potentially led to a loss of normal braking or steering capability during landing, restricted operation of landing gear or flaps, and an increased landing distance. These factors posed a risk of runway excursion, possible emergency evacuation, and disruption to normal operations</t>
  </si>
  <si>
    <t>May-16-2025</t>
  </si>
  <si>
    <t xml:space="preserve">Safety Recommendations are being monitored by CSD </t>
  </si>
  <si>
    <t>SA- HZ-ORG-6</t>
  </si>
  <si>
    <t xml:space="preserve">CAP submitted by CAMO </t>
  </si>
  <si>
    <t xml:space="preserve">May lead to aircraft Structural  damage </t>
  </si>
  <si>
    <t>4D</t>
  </si>
  <si>
    <t xml:space="preserve">Tolerable </t>
  </si>
  <si>
    <t>C</t>
  </si>
  <si>
    <t>1C</t>
  </si>
  <si>
    <t xml:space="preserve">CAP submitted by Corporate Safety </t>
  </si>
  <si>
    <t>CAP has been provided</t>
  </si>
  <si>
    <t>Safety Investigation</t>
  </si>
  <si>
    <t xml:space="preserve">A finding has been observed regarding the weighing machine calibration record from a recent inspection. Despite periodic notification from the Corporate Safety Department through VSRs, Audit reports, Spot checks, this issue of weighing machine calibration is still prevalent. This poses a serious risk in our flight safety while severely violating the regulatory requirement of up-to-date calibrated weighing machines. </t>
  </si>
  <si>
    <t>It was noticed that in Bajura weighing machine calibration report  issue has been identified with the calibration of the weighing machine currently in use at . The readings appear to be inconsistent and may not reflect accurate measurements</t>
  </si>
  <si>
    <t>It was reported that during flight STA-623D, traveling from Phaplu to Kathmandu. It was observed that a passenger, who was isted on  load sheet but not in the Viber messages, exited the aircraft during the landing in Kathmandu.Upon further investigation, it was revealed that the passenger in question is the sister of Captain of Sita Air.  It was also noted that this passenger had been flown from Ramechhap to Phaplu and subsequently from Phaplu to Kathmandu.  as it involves an unaccounted-for passenger revenue, which could pose concerns</t>
  </si>
  <si>
    <t>It was reported that Cabin crew new creame shirt material is not fire proof it may  poses OHS risk.</t>
  </si>
  <si>
    <t>It was reported that several operational concerns have arisen at Nepalgunj Station regarding These include repeated instances of unprofessional and discourteous behavior towards staff, lack of teamwork, irregular duty attendance—particularly during morning hours—resulting in delayed operational readiness, and consistent delays in communicating critical flight-related information such as departure updates, crew coordination, and disruption notices, all of which are impacting efficiency and staff morale.</t>
  </si>
  <si>
    <t xml:space="preserve">An old Ground Handling Manual (Edition: 11 April 2014) was found in the Operations Office at KEP station. </t>
  </si>
  <si>
    <r>
      <rPr>
        <sz val="7"/>
        <color theme="1"/>
        <rFont val="Times New Roman"/>
        <family val="1"/>
      </rPr>
      <t xml:space="preserve">  </t>
    </r>
    <r>
      <rPr>
        <sz val="12"/>
        <color theme="1"/>
        <rFont val="Times New Roman"/>
        <family val="1"/>
      </rPr>
      <t>An old Dangerous Goods Manual (Revision 01, dated 6th April 2018) was found in the Operations Office at KEP station.</t>
    </r>
  </si>
  <si>
    <t xml:space="preserve"> An old version of the Aviation Security Program was found during the inspection.</t>
  </si>
  <si>
    <r>
      <rPr>
        <sz val="7"/>
        <color theme="1"/>
        <rFont val="Times New Roman"/>
        <family val="1"/>
      </rPr>
      <t xml:space="preserve">      </t>
    </r>
    <r>
      <rPr>
        <sz val="12"/>
        <color theme="1"/>
        <rFont val="Times New Roman"/>
        <family val="1"/>
      </rPr>
      <t>The Aircraft Weighing Report maintained by the CAMO Department does not match the actual approved report</t>
    </r>
  </si>
  <si>
    <t>An old version of the SEEP Manual (Issue 02, Revision 01) was found during the inspection</t>
  </si>
  <si>
    <t>It was reported that the Ram Air system is ineffective during high temperatures, leading to poor cockpit airflow. As a result, which may affect flight safety.</t>
  </si>
  <si>
    <t xml:space="preserve">It was reported that  there was an incident involving 9N-AJH on where the left engine experienced a sudden loss of power during the run-up check.
</t>
  </si>
  <si>
    <t>CAAN/business OPS</t>
  </si>
  <si>
    <t>It was reported that during Lukla Season the movement ofr people is observed nearby aircraft during flight engine running staff from other airlines dragging trolley nearby in the station of Lukla .</t>
  </si>
  <si>
    <t>SA- HZ-ORG-4</t>
  </si>
  <si>
    <t>SA- HZ-TECH- 1</t>
  </si>
  <si>
    <t>SA- HZ-TECH- 2</t>
  </si>
  <si>
    <t>SA- HZ-ENV-1</t>
  </si>
  <si>
    <t xml:space="preserve">Training records has been provided by Business Operations Department </t>
  </si>
  <si>
    <t xml:space="preserve">#Initial Assessment was been carried out hydraulic motor malfunction was suspected . Hydraulic pump along with motor was replaced , Hydraulic motor routine inspection will be effectively monitored by QA Manger &amp; Interim Safety Recommendations are being finalized after the investigation and being monitored by CSD </t>
  </si>
  <si>
    <t>MOE manual was not done in standard formatting which don’t follow Flight safety documentation system (FSDS) guidelines NCF- Level 2</t>
  </si>
  <si>
    <t xml:space="preserve">Internal Safety Audit </t>
  </si>
  <si>
    <t xml:space="preserve">MOE organization structure doesn’t incorporate Corporate Safety Department </t>
  </si>
  <si>
    <t>MOE manual contains non-conformities as it does not validate emergency protocols of the 145 Office/AMO Department or recognize the Emergency Response Plan (ERP) Manual.</t>
  </si>
  <si>
    <t>The latest appointment letter of the Quality Manager was not maintained</t>
  </si>
  <si>
    <t>The ultimate responsibilities of the Accountable Manager are not clearly defined. A review of the Job Description (JD) of the CEO/Accountable Manager is required as per the latest revision of AOCR Appendix-4.</t>
  </si>
  <si>
    <t>Safety Performance Indicators (SPIs) have been defined, but there is no evidence of regular evaluation for implementation</t>
  </si>
  <si>
    <t>Safety-related trends are analyzed during Reliability meetings but are not implemented and maintained by the AMO Department.</t>
  </si>
  <si>
    <t>SA-ORG-120-25</t>
  </si>
  <si>
    <t>SA-ORG-121-25</t>
  </si>
  <si>
    <t xml:space="preserve">Next MOE revision </t>
  </si>
  <si>
    <t>SA-ORG-122-25</t>
  </si>
  <si>
    <t>SA-ORG-123-25</t>
  </si>
  <si>
    <t>SA-ORG-124-25</t>
  </si>
  <si>
    <t>SA-ORG-125-25</t>
  </si>
  <si>
    <t>SA-ORG-126-25</t>
  </si>
  <si>
    <t xml:space="preserve">It was reported flight9N-AHR  STA-501, flight from KEP to IMK diverted back to KEP due to flap extension problem (Flaps did not extend after selecting lever to 1 &amp; 2 posistion </t>
  </si>
  <si>
    <t>It was reported that flight 9N-AHR (STA-501), operating from KEP to IMK, was diverted back to KEP due to a flap extension problem. The flaps did not extend after selecting the lever to positions 1 and 2.</t>
  </si>
  <si>
    <t xml:space="preserve">STA- 501 </t>
  </si>
  <si>
    <t xml:space="preserve">Diverted due to flaps extension problem </t>
  </si>
  <si>
    <t xml:space="preserve">Capt D.K Shah             F/O S.K Pandey            A/H G. Shrestha       </t>
  </si>
  <si>
    <t>SA-Occ-09-2025</t>
  </si>
  <si>
    <t xml:space="preserve">9N-AHR </t>
  </si>
  <si>
    <t xml:space="preserve">SA-HZ-TECH-3 </t>
  </si>
  <si>
    <t xml:space="preserve">NO </t>
  </si>
  <si>
    <t xml:space="preserve">OPEN </t>
  </si>
  <si>
    <t xml:space="preserve">During troubleshooting flap lever wire found loose connection, same tightened and fixed micro switches also checked, movement of flap lever and flap control physically verified IAW AMM CH: 27-50-00, REV-12, operation check carried out of flap movement, found satisfactory </t>
  </si>
  <si>
    <t>Potential unstable approach , risk of runway excursion at IMK</t>
  </si>
  <si>
    <t xml:space="preserve">The flaps did not extend after selecting the lever positions to 1 and 2 positions </t>
  </si>
  <si>
    <t>It was reported that Marshalling, Refueling, and Transit Inspection activities were carried out under rainy conditions without the provision of umbrellas or raincoats.</t>
  </si>
  <si>
    <t>SA-ORG-127-25</t>
  </si>
  <si>
    <t>SA-ORG-128-25</t>
  </si>
  <si>
    <t>It was reported that there was no raincoat provided for certifying staff (AMEs)</t>
  </si>
  <si>
    <t xml:space="preserve">Quality department has sent image covering the aircraft </t>
  </si>
  <si>
    <t>It was reported that after deperature from Runway 26 VNNG, the aircraft proceeded on course towards VNBR, , a foot 15nm North of VNNG thunderstorm and lighting strickers were seen directly on our flight path and no alternate routes could be found thus, the aircraft diverted back to VNNG</t>
  </si>
  <si>
    <t>STA-301</t>
  </si>
  <si>
    <t xml:space="preserve">Capt. R. Dangol    Capt. S. Guragain   A/H. C. Malla       </t>
  </si>
  <si>
    <t>BJU</t>
  </si>
  <si>
    <t>Diverted due to thunderstorms and lightning strikes along the route. No alternate route could be found</t>
  </si>
  <si>
    <t>It was reported that cabin crew was reported for duty at 7 o clock in the KEP. As there was return flight to KTM the same day. On arrival to Kathmandu, It  was informed only two vehicles was present there and again I informed him to manage another transportation as health condition was unwell. He said it won't be possible as there were no drivers available at the moment.</t>
  </si>
  <si>
    <t>It was reported that during boarding the passenger for KEP to IMK flight, the passengers were not even seated properly and were near the main door, the ground staff closed the door resulting theharm in passeneger as the door handle touched the passenger. the ground handling staff didmot wait for the signal of cabin crew to close the door which is deviation of SOP</t>
  </si>
  <si>
    <t>SA-ORG-129-25</t>
  </si>
  <si>
    <t>SA-ORG-130-25</t>
  </si>
  <si>
    <t>It was reported that During refueling and maintenance operations at Nepalgunj Airport, it has been observed that the trestle provided at the site is of insufficient height relative to the aircraft servicing requirements. This discrepancy poses a significant safety hazard to personnel engaged in elevated tasks.</t>
  </si>
  <si>
    <t xml:space="preserve">LUA </t>
  </si>
  <si>
    <t>PPL</t>
  </si>
  <si>
    <t>due enroute weather LUA WX</t>
  </si>
  <si>
    <t xml:space="preserve">Capt. R. Dangol    Capt. G. Pokharel   A/H. C. Malla       </t>
  </si>
  <si>
    <t xml:space="preserve">It was reported that the aircraft was diverted to PPL from east of 105 DANDA due to Lukla Enroute WX </t>
  </si>
  <si>
    <t>It was reported that Business operation ground staff was wearing flight crew ramp jacket in ramp area</t>
  </si>
  <si>
    <t>SA-ORG-131-25</t>
  </si>
  <si>
    <t>SA-ORG-132-25</t>
  </si>
  <si>
    <t>It was reported that aircraft departed from KTM reached east of Phaplu maintaining 11500 and contacted with lukla and got information from Lukla closed due to weather and diverted to RHP and landed as per SOP</t>
  </si>
  <si>
    <t>It was reported that load details shared by business operation personnel through internal communication channels do not always match actual operational figures, causing confusion and affecting safe flight dispatch, flight watch, and monitoring. Unverified information has also been shared on official platforms without proper validation.</t>
  </si>
  <si>
    <t>SA-ORG-133-25</t>
  </si>
  <si>
    <t xml:space="preserve">It was reported on KTM-LUA sector flight the was diverted likhu back to KTM due to Lukla weather </t>
  </si>
  <si>
    <t xml:space="preserve">STA-621'D' </t>
  </si>
  <si>
    <t>diverted due to LUA weather</t>
  </si>
  <si>
    <t xml:space="preserve">Capt D.Giri              F/O. R. K.C              A/H  D. Adhikari         </t>
  </si>
  <si>
    <t>It was reported that flight diverted back to KTM due to lukla airport closed because of low visibility(3000m)</t>
  </si>
  <si>
    <t xml:space="preserve">STA-611'D' </t>
  </si>
  <si>
    <t xml:space="preserve">diverted due to Lukla airport closed </t>
  </si>
  <si>
    <t xml:space="preserve">Capt. R. Dangol    Capt. K. Sapkota     A/H. C. Malla       </t>
  </si>
  <si>
    <t>It was reported that during the flight STA-612 from Lukla to kathmandu Left landing gear green light was not observed when conducting final checks, immediately the flight crew carried out landing gear checks 10 Nm north east of Katmandu, during the checks, we came to a conclusion that it was false landing gear not down &amp; locked indication where the left gear indicator being faulty despite the landing gear being down and locked. Landed safely in Kathmandu</t>
  </si>
  <si>
    <t>SA-Occ-05-2025</t>
  </si>
  <si>
    <t xml:space="preserve">It was reported that the the bed and pillow was unfit for proper sleeping at RHP Station </t>
  </si>
  <si>
    <t>SA-ORG-134-25</t>
  </si>
  <si>
    <t xml:space="preserve">It was reported that the the bed and pillow ergonomically unfit for proper sleeping at RHP Station causing sleeping problems </t>
  </si>
  <si>
    <t>It was reported that aircraft STA-621 flight from KTM to LUA was diverted back  to RHP due enroute WX</t>
  </si>
  <si>
    <t xml:space="preserve">Capt D.Giri              F/O A.Rawat           A/H G. Shrestha            </t>
  </si>
  <si>
    <t>It was reported that after the aircraft engine was started for departure, a mismatch in the passenger manifest was noticed. The engine was shut down, causing a delay of about one hour.</t>
  </si>
  <si>
    <t>It was reported that after boarding and taxiing, the flight returned to the bay due to deteriorating weather at Lukla. Upon resumption of boarding, the original passenger manifest was used, but several passengers on board were different from those listed. The issue was identified after engine start, reported to the Captain, and an engine shutdown was carried out while coordination with marketing staff was made to correct the manifest</t>
  </si>
  <si>
    <t>SA-ORG-135-25</t>
  </si>
  <si>
    <t>SA-ORG-136-25</t>
  </si>
  <si>
    <t xml:space="preserve">Flight Diversion Report </t>
  </si>
  <si>
    <t>STA-401 'A'</t>
  </si>
  <si>
    <t xml:space="preserve">It was reported during a flight from Nepalgunj to Jumla the aircraft was diverted to Nepalgunj after take off (5DME) from Nepalgunj right engine torque showing not enough </t>
  </si>
  <si>
    <t>Due right engine torque showing not enough</t>
  </si>
  <si>
    <t xml:space="preserve">It was reported during a flight from Nepalgunj to Jumla the aircraft was diverted back to Nepalgunj after take off (5DME) from Nepalgunj right engine torque showing not enough </t>
  </si>
  <si>
    <t>It was reported that Ms. Upreti, assigned at the airport as a replacement due to staff shortage, has not been taking her weekly off, believing airport operations may be affected in her absence. Clarification is sought on whether the weekly off directive applies only to airport staff or to all Sita Air employees</t>
  </si>
  <si>
    <t>SA-ORG-137-25</t>
  </si>
  <si>
    <t xml:space="preserve">Technical-SCF-PP </t>
  </si>
  <si>
    <t xml:space="preserve">It was reported that after take off from VNNG, reaching 5 DME right engine torque showing not enough or lower than required </t>
  </si>
  <si>
    <r>
      <rPr>
        <b/>
        <sz val="11"/>
        <color theme="1"/>
        <rFont val="Times New Roman"/>
        <family val="1"/>
      </rPr>
      <t>Initial assessment</t>
    </r>
    <r>
      <rPr>
        <sz val="11"/>
        <color theme="1"/>
        <rFont val="Times New Roman"/>
        <family val="1"/>
      </rPr>
      <t xml:space="preserve"> :suspected ppc to be unserviceable same removed and replaced with servicable ine but rectification was not achieved.   </t>
    </r>
    <r>
      <rPr>
        <b/>
        <sz val="11"/>
        <color theme="1"/>
        <rFont val="Times New Roman"/>
        <family val="1"/>
      </rPr>
      <t>Action taken:</t>
    </r>
    <r>
      <rPr>
        <sz val="11"/>
        <color theme="1"/>
        <rFont val="Times New Roman"/>
        <family val="1"/>
      </rPr>
      <t xml:space="preserve"> All torque indication system was checked, all back plugs related to RH engine torque indication system was cleaned, signal conditioner unit re-calibrated as per latest </t>
    </r>
    <r>
      <rPr>
        <b/>
        <sz val="11"/>
        <color theme="1"/>
        <rFont val="Calibri"/>
        <family val="2"/>
        <scheme val="minor"/>
      </rPr>
      <t>DSC SHEET DT: SHEET DT:26 0CT 2022 IAW EMM CHAP 72-00-001ENGINE,</t>
    </r>
    <r>
      <rPr>
        <sz val="11"/>
        <color theme="1"/>
        <rFont val="Times New Roman"/>
        <family val="1"/>
      </rPr>
      <t xml:space="preserve"> ground run checked, found all parameter within limit and torque was found satisfactory
</t>
    </r>
  </si>
  <si>
    <t xml:space="preserve">Capt D.Giri              F/O P.K Mandal             A/H.D.Adhikari          </t>
  </si>
  <si>
    <t xml:space="preserve">It was reported that flight from KTM to LUA diverted back to LUA due to lukla weather </t>
  </si>
  <si>
    <t>STA-921</t>
  </si>
  <si>
    <t xml:space="preserve">Capt D.Giri              F/O A.Rawat           A/H C. Malla          </t>
  </si>
  <si>
    <t>It was reported that Aircraft maintenance heplers have been allocated for double duty from 5am morning to late night shifts. This has been repeatedly happening for more than a week. Such abuse of manpower in exchange of one time lunch is highly disgraceful from the company and seriously indicate the acute shortage of manpower. Moreover the finance division is also not providing the financial support for the helpers. This has been the serious issue for safety and human factors and has a potential hazard during aircrafts turnaround service and maintenance activities.</t>
  </si>
  <si>
    <t>SA-ORG-138-25</t>
  </si>
  <si>
    <t xml:space="preserve">SMS CAAN Audit </t>
  </si>
  <si>
    <t>There is documented provision of SRB and SAG with clear TOR, Structure and meeting frequencies. However, there was inconsistency in Safety Action Group (SAG) member
participation, with non-appointed members attending the meeting instead ofdesignated representatives.</t>
  </si>
  <si>
    <t>Organization has developed SMS manual, which contains all SMS processes and procedures including the System Description (SD). Organization has intended to
include the SD to determine the scope and applicability of SMS in Organization Corporate Manual but the manual has not yet been developed thus, the SD to determine the size, nature and complexity of organization has not been fully implemented.</t>
  </si>
  <si>
    <t>There is provision of integration of SMS processes and procedures in documentation but in practice the procedures like, organization structure (in engineering docs.), safety
accountability and responsibilities in manuals and JD (in OPS and Eng. docs.), training instructor authorization validity period in case of multiple authorizations (in engineering depts.) have not been fully integrated.</t>
  </si>
  <si>
    <t>Organization has developed documentation control procedure and included in SMS manual. However, the procedure has not been fully implementation throughout the organization (esp. in engineering depts.)</t>
  </si>
  <si>
    <t>There is documented provision of hazard identification from multiple sources.Organization is identifying and recording the hazards from more than one sources.However, no hazards have been identified from important sources like, flight
monitoring system (ie, V2 tracker) and investigation.</t>
  </si>
  <si>
    <t>There is documented provision of internal safety investigation to be used byorganization. However, the provisions like, no assurance of involvement of Safetydept. in all investigation and draft report to be reviewed by accountable manager may
compromise the independency of investigation process. Moreover, the provision does not clearly state the use of RCA tools during the investigation process to ensure the identification of roots of problem. Similarly, the provision of extension of investigation timeline upto 6 months may contradict with regulatory timelines. In some of theinvestigation cases, full loops have not been closed; cases closed without ensuring the implementation of recommended actions (Sample: Smoke Case, March 2025).</t>
  </si>
  <si>
    <t>There is documented provision of management of risk. However, some of the occurrences have been closed without implementing all the identified/recommended actions. Therefore, it is not assured that Root Cause of the occurrence has been
addressed before closing the safety issue.</t>
  </si>
  <si>
    <t>There is documented provision of defining, Safety objectives, SPIs and SPTs and monitoring the safety performance. However, the defined low - level objectives do notdirectly align with generic objectives. Moreover, it is not assured that the defined SPIs and SPTs fully address the organization safety particularly the issues listed in safety There is documented provision of defining, Safety objectives, SPIs and SPTs and
monitoring the safety performance. However, the defined low - level objectives do not directly align with generic objectives. Moreover, it is not assured that the defined SPIs
and SPTs fully address the organization safety particularly the issues listed in safety
deficiency list.</t>
  </si>
  <si>
    <t>There is provision of verification of all risk controls and mitigation measures. Organization is verifying the controls and measures through regular audit. But the organization is verifying the implementation of future mitigating barriers only. Therefore, it is not assured that all the controls and measures, including the existing ones, have been verified to ensure that they are working effectively.</t>
  </si>
  <si>
    <t>There is documented provision of conduction of management of Change. Organization is conducting MOC for significant changes in organization. However, organization is
introducing the significant changes before implementing the safety measures applied to mitigate risks of change. (sample: MOC for QA Manager change)</t>
  </si>
  <si>
    <t>There is documented provision of internal safety investigation to be used byorganization. However, the provisions like, no assurance of involvement of Safetydept. in all investigation and draft report to be reviewed by accountable manager may compromise the independency of investigation process. Moreover, the provision does not clearly state the use of RCA tools during the investigation process to ensure the identification of roots of problem. Similarly, the provision of extension of investigation timeline upto 6 months may contradict with regulatory timelines. In some of theinvestigation cases, full loops have not been closed; cases closed without ensuring the implementation of recommended actions (Sample: Smoke Case, March 2025).</t>
  </si>
  <si>
    <t>There is documented provision of management of risk. However, some of the occurrences have been closed without implementing all the identified/recommended actions. Therefore, it is not assured that Root Cause of the occurrence has been addressed before closing the safety issue.</t>
  </si>
  <si>
    <t>CAAN Audit Report (NCAR Part-M)</t>
  </si>
  <si>
    <t xml:space="preserve">CAME 0.0 3 stills bears the name of former CA manager </t>
  </si>
  <si>
    <t xml:space="preserve">The organization has not carried out competency assessment of its new assigned CA manager </t>
  </si>
  <si>
    <t>The organisation has not appointed in charge for technical services and planning and records respectively.</t>
  </si>
  <si>
    <t xml:space="preserve">Training on FOR has not been conducted for CA manager </t>
  </si>
  <si>
    <t>Continuation training on FOR, OPS Manual , AOC holders Operations specifications was found not conducted for Quality manager.</t>
  </si>
  <si>
    <t xml:space="preserve">The organisation has conducted SMS training to its stuff but it is not included in CAME part 0.3.6.2, 0.3.6.4; 0.3.6.5 and 0.3.6.6 </t>
  </si>
  <si>
    <t xml:space="preserve">Training as per Training plan has not been conducted </t>
  </si>
  <si>
    <t xml:space="preserve">Training need analysis as per 0.3.7.3 has not been conducted. </t>
  </si>
  <si>
    <t xml:space="preserve"> Operation manual part A (4th edition dated 2014) was held by CAMO department whereas the manual's current status was Issue 6, Rev.01.</t>
  </si>
  <si>
    <t>List of contracted approved maintenance organisation was found outdated.</t>
  </si>
  <si>
    <t>Pre-flight inspection checklist dated 22 July 2025 of dornier 228-212; Reg. Mark: 9N-AJH aircraft was checked.
* item No.6 of checklist does not mention parking brake accumulator pressure 
* Item No.14 of the checklist does not specify which bottle it is refering to 
* Item No. 20 TAS self- test should be correct to TCAS self-test.</t>
  </si>
  <si>
    <t xml:space="preserve"> Assessment of AD 25-098 , Issue dates 27th June 2025 was found not carried out</t>
  </si>
  <si>
    <t>MWO AJH-25-092 of Dornier 228-212; Reg. Mark: 9N-AJH aircraft was checked for CMP task code SA-24-01A. However, the CMP mentions system code 24-30-04. The CMP does not accurately pin point the corresponding tasks for the given task code.</t>
  </si>
  <si>
    <t>The CAMO department was not in possession of CMP system code 26-21-02, 26-21-0 (Task Description Manufacturer SIL No. 26-0237 latest revision).</t>
  </si>
  <si>
    <t>CAMO/145 engineering</t>
  </si>
  <si>
    <t>CAP submitted to CAAN and accepted</t>
  </si>
  <si>
    <t>SA-ORG-139-25</t>
  </si>
  <si>
    <t>SA-ORG-140-25</t>
  </si>
  <si>
    <t xml:space="preserve">CAP sunmitted to CAAN and CAP   implementatin status being updated </t>
  </si>
  <si>
    <t xml:space="preserve">CAP provided by Corporate Department </t>
  </si>
  <si>
    <t>It was reported that for the past three to four months, cabin crew have repeatedly noted that the chime sound is not heard after engine start on aircraft 9N-AJH. Although recorded several times in the logbook, engineering responses have repeatedly stated that the speaker could not be found, while the issue continues.</t>
  </si>
  <si>
    <t>Rectification and troubleshooting carried out by maintenance personnel</t>
  </si>
  <si>
    <t xml:space="preserve">It was reported that 9N-AHR experienced aborted during take-off roll due Nose Wheel Vibration at RHP station </t>
  </si>
  <si>
    <t>SA-Occ-10-2025</t>
  </si>
  <si>
    <r>
      <rPr>
        <b/>
        <sz val="11"/>
        <color theme="1"/>
        <rFont val="Times New Roman"/>
        <family val="1"/>
      </rPr>
      <t>Action taken:</t>
    </r>
    <r>
      <rPr>
        <sz val="11"/>
        <color theme="1"/>
        <rFont val="Times New Roman"/>
        <family val="1"/>
      </rPr>
      <t xml:space="preserve"> Troubleshooting carried out and nose landing gear shock strut charged to a specified pressure as per   AMM CH. 12-14-02 &amp; AMM CH-32-20-00 REF NRC NO 25 AHR-047                                              </t>
    </r>
    <r>
      <rPr>
        <b/>
        <sz val="11"/>
        <color theme="1"/>
        <rFont val="Times New Roman"/>
        <family val="1"/>
      </rPr>
      <t>Proposal to prevent event</t>
    </r>
    <r>
      <rPr>
        <sz val="11"/>
        <color theme="1"/>
        <rFont val="Times New Roman"/>
        <family val="1"/>
      </rPr>
      <t xml:space="preserve">:  Shock strut servicing    as per CMM may be carried out or planned accordingly             </t>
    </r>
  </si>
  <si>
    <t xml:space="preserve">Internal Investigation carried out on nose landing gear vibration initiated by Quality Department and  recommendation monitored by Safety and Quality departrment </t>
  </si>
  <si>
    <t>It was reported that during taxi-out and at the take off point at KTM station it was observed that trim actuator was found intermittent trim Actuator and  back plug was found loose</t>
  </si>
  <si>
    <r>
      <rPr>
        <b/>
        <sz val="12"/>
        <color theme="1"/>
        <rFont val="Times New Roman"/>
        <family val="1"/>
      </rPr>
      <t>Action taken</t>
    </r>
    <r>
      <rPr>
        <sz val="12"/>
        <color theme="1"/>
        <rFont val="Times New Roman"/>
        <family val="1"/>
      </rPr>
      <t xml:space="preserve"> : back plug of AC heater was checked cleaned and tightened, operational check carrier out and found normal          </t>
    </r>
    <r>
      <rPr>
        <b/>
        <sz val="12"/>
        <color theme="1"/>
        <rFont val="Times New Roman"/>
        <family val="1"/>
      </rPr>
      <t>Proposal to prevent the event:</t>
    </r>
    <r>
      <rPr>
        <sz val="12"/>
        <color theme="1"/>
        <rFont val="Times New Roman"/>
        <family val="1"/>
      </rPr>
      <t xml:space="preserve"> back plug of the component should be checked periodically</t>
    </r>
  </si>
  <si>
    <t xml:space="preserve">It was reported that Mr. Dipak Das has been repeatedly breaching established office protocols by accessing CAMO documents without proper authorization. Concerns were raised that, should any documents be mishandled, it may create ambiguity regarding departmental responsibility, particularly between Technical Records and the Quality Department. The behaviour was described as unprofessional and immature, with potential to cause significant operational and compliance issues in the future.
</t>
  </si>
  <si>
    <t xml:space="preserve">Quality Department </t>
  </si>
  <si>
    <t>SA-ORG-141-25</t>
  </si>
  <si>
    <t>SA-ORG-142-25</t>
  </si>
  <si>
    <t>SA-ORG-143-25</t>
  </si>
  <si>
    <t>SA-ORG-144-25</t>
  </si>
  <si>
    <t>SA-ORG-145-25</t>
  </si>
  <si>
    <t>SA-ORG-146-25</t>
  </si>
  <si>
    <t>SA-ORG-147-25</t>
  </si>
  <si>
    <t>SA-ORG-148-25</t>
  </si>
  <si>
    <t>SA-ORG-149-25</t>
  </si>
  <si>
    <t>SA-ORG-150-25</t>
  </si>
  <si>
    <t>SA-ORG-151-25</t>
  </si>
  <si>
    <t>SA-ORG-152-25</t>
  </si>
  <si>
    <t>SA-ORG-153-25</t>
  </si>
  <si>
    <t>SA-ORG-154-25</t>
  </si>
  <si>
    <t>SA-ORG-155-25</t>
  </si>
  <si>
    <t>SA-ORG-156-25</t>
  </si>
  <si>
    <t>SA-ORG-157-25</t>
  </si>
  <si>
    <t>SA-ORG-158-25</t>
  </si>
  <si>
    <t>SA-ORG-159-25</t>
  </si>
  <si>
    <t>SA-ORG-160-25</t>
  </si>
  <si>
    <t>SA-ORG-161-25</t>
  </si>
  <si>
    <t>SA-ORG-162-25</t>
  </si>
  <si>
    <t>SA-ORG-163-25</t>
  </si>
  <si>
    <t>SA-ORG-164-25</t>
  </si>
  <si>
    <t>SA-ORG-165-25</t>
  </si>
  <si>
    <t xml:space="preserve">Ramp/Ground handling </t>
  </si>
  <si>
    <t xml:space="preserve">Circular was released from Business Operations Department </t>
  </si>
  <si>
    <t xml:space="preserve">Ramp safety training given to personnel working at Lukla Station </t>
  </si>
  <si>
    <t>SA-Occ-11-2026</t>
  </si>
  <si>
    <t>SA-Occ-12-2025</t>
  </si>
  <si>
    <t>SA-Occ-13-2025</t>
  </si>
  <si>
    <t>SA-Occ-14-2025</t>
  </si>
  <si>
    <t>SA-ORG-166-25</t>
  </si>
  <si>
    <t xml:space="preserve">CAP has been submitted by CAMO &amp; Technical publication has been revised </t>
  </si>
  <si>
    <t>It was reported that fuel and transportation benefits are unevenly distributed across departments. Operational and licensed personnel, such as dispatchers and managers, do not receive similar benefits as some corporate, engineering, and finance staff. There is no clear policy outlining eligibility, allocation criteria, or benefit limits. The lack of clarity may lead to perceived unfairness and affect morale. It was recommended that the organization formalize and communicate a clear fuel and transportation policy to ensure transparency and fairness.</t>
  </si>
  <si>
    <t xml:space="preserve">Quality Manager Appointment Letter has been received </t>
  </si>
  <si>
    <t>Meeting was conducted on 13th November 2025</t>
  </si>
  <si>
    <t xml:space="preserve">One time inspection of Booster Oump access panel anchor carried out </t>
  </si>
  <si>
    <t xml:space="preserve">It was reported that after the aircraft landed at KEP, while deboarding the passengers, It was observed that the aircraft while the PAX are still on board. According to Cabin Crew Manual Clause 2.2.2 Refuling/Defuling with PAX is prohibited but it was told that they were not refueling but when cabin crew checked after deboarding  the PAX, it was noticed that the aircraft was already refueled on one side and was about to move to the other side </t>
  </si>
  <si>
    <t>Incident</t>
  </si>
  <si>
    <t>It was reported that a passenger and ground handling staff engaged in misconduct at Ramechhap Station.</t>
  </si>
  <si>
    <t>Provision of the soft copy of the MOE has been initiated.</t>
  </si>
  <si>
    <t xml:space="preserve">Safety trends has been analysed </t>
  </si>
  <si>
    <t>It was reported that concerns regarding duty hour monitoring and staff welfare, which are affecting motivation and may have safety implications.</t>
  </si>
  <si>
    <t xml:space="preserve">CAP has been submitted by Flight Operations Department </t>
  </si>
  <si>
    <t>Memo was issue regarding this issue by Admin/Finance</t>
  </si>
  <si>
    <t xml:space="preserve">Memo has been issued from Admin/Finance </t>
  </si>
  <si>
    <t xml:space="preserve">The calibration of baggae machine update has been provided by Admin/Finance </t>
  </si>
  <si>
    <t>Cap has been submitted by Corporate Department</t>
  </si>
  <si>
    <t xml:space="preserve">CAP has been provided by Corporate Department </t>
  </si>
  <si>
    <t xml:space="preserve">CAP has been submitted by Corporate Department </t>
  </si>
  <si>
    <t xml:space="preserve">Memo has been issued from Admin/Finance and Corporate Department </t>
  </si>
  <si>
    <t xml:space="preserve"> CAP has been submitted by Corporate Department </t>
  </si>
  <si>
    <t>News letter has been published related to Just Culture</t>
  </si>
  <si>
    <t>Cororate Safety Department part is refelected in MOE Manual</t>
  </si>
  <si>
    <t>D/g goods regulations recurrent sheet given by Businees ops</t>
  </si>
  <si>
    <t xml:space="preserve">Memo has been issued from Admin/Financeand CAP has been submitted by Corporate  </t>
  </si>
  <si>
    <t xml:space="preserve">CAP has been submitted Corporate Department </t>
  </si>
  <si>
    <t xml:space="preserve">CAP has been provided by Business operations Department </t>
  </si>
  <si>
    <t>CAP has been Provided  By Business Operation Department</t>
  </si>
  <si>
    <t xml:space="preserve">Next MOE revisison </t>
  </si>
  <si>
    <t xml:space="preserve">CAP has been submitted by Business Operations Department </t>
  </si>
  <si>
    <t xml:space="preserve">CAP provided by Business Operations Department </t>
  </si>
  <si>
    <t>CAP  has been submitted by Business Operations Department</t>
  </si>
  <si>
    <t xml:space="preserve">CAP has been provided by Business Operations Department </t>
  </si>
  <si>
    <t xml:space="preserve"> Occurrence Log sheet-2025</t>
  </si>
  <si>
    <t xml:space="preserve">Internal SMS Audit </t>
  </si>
  <si>
    <t xml:space="preserve">During the Quality Finding no 11 internal audits conducted on 13th and 25th February, it was observed that CAMO did not demonstrate the use of engineering judgment in the development, review, or justification of CMP. Additionally, engineering judgment was neither applied nor documented during Reliability meetings, resulting in limited traceability of technical decision-making.
NCF- Level 2
</t>
  </si>
  <si>
    <t xml:space="preserve">It was observed that while Quality Department tracks audit findings and corrective actions, for CAMO Department but the CAMO Department does not have an independent mechanism to monitor the implementation of corrective action plans, timelines, or observations. This limits CAMO’s ability to ensure timely closure and verify the effectiveness of actions taken. 
OBS- Level 2
</t>
  </si>
  <si>
    <t xml:space="preserve">It was observed that The Corporate Commitment signed by Accountable Manager was not properly initiated by the CA Manager. Although the policy draft (Clause 0.1 – Establishment and Development of Continuing Airworthiness Policy) exists, the meeting minutes reflecting CEO approval were not available. Furthermore, a pre-policy meeting to approve the policy before its development was not conducted.
OBS- Level 2
</t>
  </si>
  <si>
    <t xml:space="preserve">Assessment meeting for Airworthiness Directives (AD) and Service Bulletins (SB) was not conducted within the MOD Committee meeting. In addition, there was no evidence of stakeholder engagement during the assessment process, limiting collaboration and formal review.
OBS- Level 2
</t>
  </si>
  <si>
    <t xml:space="preserve">The SRM conducted on 17 March 2024 regarding microbiological fuel contamination by the CAMO Department did not follow the established Safety Risk Assessment procedure. Additionally, there was no involvement and acceptance from CEO as per SMS provisions Executive. Although SRM may be performed by an independent department, the process must remain centralized to ensure consistent governance, proper approval, and complete traceability.
NCF- Level 2
</t>
  </si>
  <si>
    <t>It was observed that the latest MEL Issue 06, Revision 00, was not being used at the Nepalgunj base station. NCF – Level 2</t>
  </si>
  <si>
    <t>The revised ATFL was documented in the CAME Manual, which was approved in October, but it was not implemented as of 26th November 2026. Additionally, the process has not yet been incorporated into the relevant procedures. NCF – Level 2</t>
  </si>
  <si>
    <t>It was observed that the applicable STOL supplements, specifically the Weight and Balance information in POH Section 6, were not inserted into the Technical Library.  NCF – Level 2</t>
  </si>
  <si>
    <t>The Maintenance Check Flight was conducted as required; however, the activity was not documented. OBS – Level 2</t>
  </si>
  <si>
    <t xml:space="preserve">SA/02/8/2025: During sampling, it was observed that backlog reports were generated during the CAMO handover–takeover process; however, no formal handover–takeover meeting was conducted. This situation constitutes a Management of Change (MOC) concern under the Safety Assurance provision of the SMS, as the change in handover practice was neither assessed nor controlled. The existing barrier intended to ensure an effective and documented handover did not function as required.
OBS – Level 2
</t>
  </si>
  <si>
    <t xml:space="preserve">It was observed that the Workshop Procedure Manual (WPM) training was marked as “completed” in the SPI/SPTs; however, the training validity for the required technical personnel had already expired. As a result, the recorded training status did not accurately represent the actual compliance position. This discrepancy falls under the Safety Assurance element of the SMS, indicating that the mechanisms for monitoring and validating training currency were not operating effectively.
NCF-Level 2
</t>
  </si>
  <si>
    <t xml:space="preserve">There is a provision for analyzing proactive safety trends and recurring defects in CAMO Reliability meetings. While the process is operational, there is no prior documentation of these analyses, limiting traceability and evidence of systematic review.
OBS- Level 2
</t>
  </si>
  <si>
    <t xml:space="preserve">There is a provision for the use of the C5 Form for major modifications and repairs of components. While the second phase of work has been initiated, a gap was identified in the initiation of the first phase, specifically concerning the timely preparation and documentation of required records. This deficiency may impact the effectiveness and traceability of technical decision-making.
OBS – Level 2
</t>
  </si>
  <si>
    <t xml:space="preserve">There is a provision for the retention of records in the CAMO department; however, no evidence was found to demonstrate that a formal retention mechanism is in place or being followed.
OBS- Level 2
</t>
  </si>
  <si>
    <t xml:space="preserve">It was noted that the safety recommendation to coordinate periodic TLMCM reviews for high-risk systems was not conducted as required.
OBS- Level 2
</t>
  </si>
  <si>
    <t>A clear communication procedure between CAMO, QA, and 145 Maintenance for internal departmental meetings has not been fully developed. Specifically, it is unclear which department is responsible for initiating the meetings, indicating a procedural deficiency. OBS-Level 2</t>
  </si>
  <si>
    <t>SA-ORG-1-26</t>
  </si>
  <si>
    <t>SA-ORG-2-26</t>
  </si>
  <si>
    <t>SA-ORG-3-26</t>
  </si>
  <si>
    <t>SA-ORG-4-26</t>
  </si>
  <si>
    <t>SA-ORG-5-26</t>
  </si>
  <si>
    <t>SA-ORG-6-26</t>
  </si>
  <si>
    <t>SA-ORG-7-26</t>
  </si>
  <si>
    <t>SA-ORG-8-26</t>
  </si>
  <si>
    <t>SA-ORG-10-26</t>
  </si>
  <si>
    <t>SA-ORG-11-26</t>
  </si>
  <si>
    <t>SA-ORG-12-26</t>
  </si>
  <si>
    <t>SA-ORG-13-26</t>
  </si>
  <si>
    <t>SA-ORG-14-26</t>
  </si>
  <si>
    <t>SA-ORG-15-26</t>
  </si>
  <si>
    <t>SA-ORG-16-26</t>
  </si>
  <si>
    <t>SA-ORG-17-26</t>
  </si>
  <si>
    <t xml:space="preserve">It was observed that the Corporate Manual does not provide documented evidence of progressive work processes, and lacks defined procedures to demonstrate how activities are planned, implemented, monitored, and improved within the organization.
OBS Level 2 
</t>
  </si>
  <si>
    <t xml:space="preserve">The Corporate Department has provided a department-wise organizational chart; however, there is no evidence that career paths or progression opportunities have been communicated to all relevant departments.
OBS Level 2
</t>
  </si>
  <si>
    <t xml:space="preserve">There is no evidence of cross-departmental communication processes. The organizational chart does not reflect how departments coordinate with each other, and there are no documented procedures showing how cross-departmental communication is conducted and acknowledged.
OBS Level 2
</t>
  </si>
  <si>
    <t xml:space="preserve">Two-way communication mechanisms were not observed. Communication appears to be one-way (broadcasting) without any formal channels for feedback, discussion, or acknowledgment from recipients.
OBS Level 2
</t>
  </si>
  <si>
    <t xml:space="preserve">The audit observed references to “Manager” and “Senior Management”; however, the company’s organizational structure only includes “Management” and the Board of Directors (BOD). There is no clear definition or documentation clarifying who constitutes senior management.
OBS Level 2
</t>
  </si>
  <si>
    <t xml:space="preserve">No evidence of workforce planning was observed in the Corporate Department. The absence of a structured plan has resulted in ad-hoc hiring practices.
OBS Level 2
</t>
  </si>
  <si>
    <t xml:space="preserve">A Management Trainee position exists; however, there are no documented procedures or guidelines for recruitment, training, or progression. The position appears to be managed on an ad-hoc basis.
OBS Level 2
</t>
  </si>
  <si>
    <t xml:space="preserve">The Chief of Corporate Organization can brief trainees and provide indoctrination training; however, there is no documented authorization or formal approval granting her the authority to provide instructions to trainees.
OBS Level 2
</t>
  </si>
  <si>
    <t xml:space="preserve">Observations raised in the VSR regarding the AVSEC Manager’s qualifications have not been addressed, and claimed experience doesn’t align with qualifications criteria
OBS Level 2
</t>
  </si>
  <si>
    <t xml:space="preserve">The Job Description (JD) of the Corporate Chief identifies external communication or liaison as a primary responsibility; however, no documented processes or procedures were found to guide or manage these activities.
OBS Level 2
</t>
  </si>
  <si>
    <t xml:space="preserve">The JD of the Corporate Chief lists responsibilities for maintaining and renewing licenses and approvals, including AOC, Part-145 approval, company registration, and trademark. However, no documented procedures or processes were seen to support how these renewals and compliance activities are carried out.
OBS Level 2
</t>
  </si>
  <si>
    <t xml:space="preserve">The Job Description (JD) of the Corporate Chief includes maintaining compliance with Labour regulations; however, it was observed that due to the company’s limited private structure, Labour regulations are not properly maintained, and practices appear autocratic and ad-hoc.
OBS- Level 2
</t>
  </si>
  <si>
    <t xml:space="preserve">No evidence of strategic planning and analysis was observed in the Corporate Department that will give organization vision mission, goals and objectives. 
OBS- Level 2
</t>
  </si>
  <si>
    <t xml:space="preserve">During Sampling, CAMO officer assessments were conducted; however, no scoring system or structured, pragmatic-based assessment criteria were applied which does not show the competency assessment.
OBS Level 2
</t>
  </si>
  <si>
    <t xml:space="preserve">The Job Description (JD) of the Chief of Corporate includes responsibilities such as talent strategy implementation and corporate governance; however, these responsibilities are vaguely defined and lack supporting analysis, processes, or measurable indicators.
OBS Level 2
</t>
  </si>
  <si>
    <t xml:space="preserve">Staff in the Corporate Department have not received Safety Management System (SMS) training.
NCF- Level 2
</t>
  </si>
  <si>
    <t xml:space="preserve">In the Job Description (JD) of Corporate staff, a “primary communication” role is assigned for communication responsibilities; however, there is no documented process or guidance on how these responsibilities are to be carried out or monitored.
OBS Level 2
</t>
  </si>
  <si>
    <t xml:space="preserve">Safety-related VSRs (Voluntary Safety Reports) were not prioritized, and as a result, safety-related reports remain open for so long 
NCF- Level 2
</t>
  </si>
  <si>
    <t xml:space="preserve">There is a provision of a document detention policy, and Corporate holds records of memos dating back to 2016; however, no detention actions have been conducted, and no documented procedures are available to guide the detention process.
OBS Level 2
</t>
  </si>
  <si>
    <t xml:space="preserve">The Admin function, previously part of the Corporate Department, has been separated into its own department. However, no documented processes were observed, and internal approvals for its operations were not completed.
OBS Level 2
</t>
  </si>
  <si>
    <t xml:space="preserve">The safety recommendation to ensure integration of SMS processes across all corporate-level documents, Job Descriptions (JD), and Terms of Reference (TOR) has not been implemented. This includes maintaining consistent organizational structures, safety responsibilities, and training/authorization requirements.
OBS Level 2
</t>
  </si>
  <si>
    <t xml:space="preserve">SPI/SPTs should be systematically recorded in the documentation system to ensure full traceability and easy retrieval; however, deficiencies exist in the current documentation process.
NCF-Level 2
</t>
  </si>
  <si>
    <t xml:space="preserve">The Corporate department has organizational established a policy, yet its ad-hoc nature constrains its practical effectiveness.
OBS Level 2
</t>
  </si>
  <si>
    <t>SA-ORG-19-26</t>
  </si>
  <si>
    <t>SA-ORG-20-26</t>
  </si>
  <si>
    <t>SA-ORG-21-26</t>
  </si>
  <si>
    <t>SA-ORG-22-26</t>
  </si>
  <si>
    <t>SA-ORG-23-26</t>
  </si>
  <si>
    <t>SA-ORG-24-26</t>
  </si>
  <si>
    <t>SA-ORG-25-26</t>
  </si>
  <si>
    <t>SA-ORG-26-26</t>
  </si>
  <si>
    <t>SA-ORG-27-26</t>
  </si>
  <si>
    <t>SA-ORG-28-26</t>
  </si>
  <si>
    <t>SA-ORG-29-26</t>
  </si>
  <si>
    <t>SA-ORG-30-26</t>
  </si>
  <si>
    <t>SA-ORG-31-26</t>
  </si>
  <si>
    <t>SA-ORG-32-26</t>
  </si>
  <si>
    <t>SA-ORG-33-26</t>
  </si>
  <si>
    <t>SA-ORG-34-26</t>
  </si>
  <si>
    <t>SA-ORG-35-26</t>
  </si>
  <si>
    <t>SA-ORG-36-26</t>
  </si>
  <si>
    <t>SA-ORG-37-26</t>
  </si>
  <si>
    <t>SA-ORG-38-26</t>
  </si>
  <si>
    <t>SA-ORG-39-26</t>
  </si>
  <si>
    <t>SA-ORG-40-26</t>
  </si>
  <si>
    <t xml:space="preserve">CAP has been provided </t>
  </si>
  <si>
    <t xml:space="preserve">Interoffice memo  has been provived </t>
  </si>
  <si>
    <t xml:space="preserve">Interoffice memo has been provided </t>
  </si>
  <si>
    <t>Manual detention log as per CAME section1.3.3.9</t>
  </si>
  <si>
    <t>Inter office memo has been provided</t>
  </si>
  <si>
    <t xml:space="preserve">Training Report has been provided by CAMO Department </t>
  </si>
  <si>
    <t xml:space="preserve">Report has been provided by CAMO department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</si>
</sst>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26" x14ac:knownFonts="1">
    <font>
      <sz val="11"/>
      <color theme="1"/>
      <name val="Calibri"/>
      <family val="2"/>
      <scheme val="minor"/>
    </font>
    <font>
      <b/>
      <sz val="16"/>
      <color theme="1"/>
      <name val="Calibri"/>
      <family val="2"/>
      <scheme val="minor"/>
    </font>
    <font>
      <b/>
      <sz val="24"/>
      <color theme="1"/>
      <name val="Cambria"/>
      <family val="1"/>
      <scheme val="major"/>
    </font>
    <font>
      <b/>
      <i/>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i/>
      <sz val="22"/>
      <color theme="1"/>
      <name val="Cambria"/>
      <family val="1"/>
      <scheme val="major"/>
    </font>
    <font>
      <b/>
      <sz val="22"/>
      <color theme="1"/>
      <name val="Cambria"/>
      <family val="1"/>
      <scheme val="major"/>
    </font>
    <font>
      <sz val="11"/>
      <color theme="1"/>
      <name val="Times New Roman"/>
      <family val="1"/>
    </font>
    <font>
      <b/>
      <sz val="18"/>
      <color theme="1"/>
      <name val="Times New Roman"/>
      <family val="1"/>
    </font>
    <font>
      <b/>
      <sz val="22"/>
      <color theme="1"/>
      <name val="Times New Roman"/>
      <family val="1"/>
    </font>
    <font>
      <b/>
      <sz val="22"/>
      <color theme="1"/>
      <name val="Calibri"/>
      <family val="2"/>
      <scheme val="minor"/>
    </font>
    <font>
      <sz val="12"/>
      <color theme="1"/>
      <name val="Times New Roman"/>
      <family val="1"/>
    </font>
    <font>
      <b/>
      <sz val="11"/>
      <color theme="1"/>
      <name val="Times New Roman"/>
      <family val="1"/>
    </font>
    <font>
      <b/>
      <sz val="12"/>
      <color theme="1"/>
      <name val="Times New Roman"/>
      <family val="1"/>
    </font>
    <font>
      <b/>
      <i/>
      <sz val="11"/>
      <color theme="1"/>
      <name val="Times New Roman"/>
      <family val="1"/>
    </font>
    <font>
      <b/>
      <i/>
      <sz val="11"/>
      <name val="Times New Roman"/>
      <family val="1"/>
    </font>
    <font>
      <sz val="11"/>
      <color rgb="FF202124"/>
      <name val="Times New Roman"/>
      <family val="1"/>
    </font>
    <font>
      <b/>
      <sz val="20"/>
      <color theme="1"/>
      <name val="Times New Roman"/>
      <family val="1"/>
    </font>
    <font>
      <b/>
      <sz val="24"/>
      <color theme="1"/>
      <name val="Times New Roman"/>
      <family val="1"/>
    </font>
    <font>
      <sz val="12"/>
      <color rgb="FF000000"/>
      <name val="Times New Roman"/>
      <family val="1"/>
    </font>
    <font>
      <sz val="8"/>
      <name val="Calibri"/>
      <family val="2"/>
      <scheme val="minor"/>
    </font>
    <font>
      <sz val="7"/>
      <color theme="1"/>
      <name val="Times New Roman"/>
      <family val="1"/>
    </font>
    <font>
      <sz val="11"/>
      <color rgb="FF000000"/>
      <name val="Times New Roman"/>
      <family val="1"/>
    </font>
    <font>
      <sz val="10"/>
      <color theme="1"/>
      <name val="Times New Roman"/>
      <family val="1"/>
    </font>
  </fonts>
  <fills count="9">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rgb="FF00B0F0"/>
        <bgColor indexed="64"/>
      </patternFill>
    </fill>
    <fill>
      <patternFill patternType="solid">
        <fgColor rgb="FFFFFF00"/>
        <bgColor indexed="64"/>
      </patternFill>
    </fill>
    <fill>
      <patternFill patternType="solid">
        <fgColor theme="9"/>
        <bgColor indexed="64"/>
      </patternFill>
    </fill>
    <fill>
      <patternFill patternType="solid">
        <fgColor rgb="FF92D050"/>
        <bgColor indexed="64"/>
      </patternFill>
    </fill>
    <fill>
      <patternFill patternType="solid">
        <fgColor theme="5" tint="0.39997558519241921"/>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thin">
        <color indexed="64"/>
      </top>
      <bottom/>
      <diagonal/>
    </border>
  </borders>
  <cellStyleXfs count="2">
    <xf numFmtId="0" fontId="0" fillId="0" borderId="0"/>
    <xf numFmtId="0" fontId="6" fillId="0" borderId="0" applyNumberFormat="0" applyFill="0" applyBorder="0" applyAlignment="0" applyProtection="0"/>
  </cellStyleXfs>
  <cellXfs count="303">
    <xf numFmtId="0" fontId="0" fillId="0" borderId="0" xfId="0"/>
    <xf numFmtId="0" fontId="3" fillId="3" borderId="2" xfId="0" applyFont="1" applyFill="1" applyBorder="1" applyAlignment="1">
      <alignment vertical="center"/>
    </xf>
    <xf numFmtId="0" fontId="3" fillId="3" borderId="9" xfId="0" applyFont="1" applyFill="1" applyBorder="1" applyAlignment="1">
      <alignment vertical="center"/>
    </xf>
    <xf numFmtId="0" fontId="3" fillId="3" borderId="2" xfId="0" applyFont="1" applyFill="1" applyBorder="1" applyAlignment="1">
      <alignment horizontal="center" vertical="center" wrapText="1"/>
    </xf>
    <xf numFmtId="0" fontId="3" fillId="3" borderId="9" xfId="0" applyFont="1" applyFill="1" applyBorder="1" applyAlignment="1">
      <alignment horizontal="center" vertical="center" wrapText="1"/>
    </xf>
    <xf numFmtId="0" fontId="9" fillId="0" borderId="0" xfId="0" applyFont="1" applyAlignment="1">
      <alignment vertical="center" wrapText="1"/>
    </xf>
    <xf numFmtId="0" fontId="9" fillId="0" borderId="0" xfId="0" applyFont="1" applyAlignment="1">
      <alignment horizontal="center" vertical="center"/>
    </xf>
    <xf numFmtId="0" fontId="9" fillId="0" borderId="0" xfId="0" applyFont="1"/>
    <xf numFmtId="0" fontId="9" fillId="0" borderId="0" xfId="0" applyFont="1" applyAlignment="1">
      <alignment horizontal="center" wrapText="1"/>
    </xf>
    <xf numFmtId="0" fontId="0" fillId="0" borderId="0" xfId="0" applyAlignment="1">
      <alignment horizontal="left"/>
    </xf>
    <xf numFmtId="0" fontId="0" fillId="0" borderId="0" xfId="0" applyAlignment="1">
      <alignment vertical="center"/>
    </xf>
    <xf numFmtId="0" fontId="9" fillId="0" borderId="0" xfId="0" applyFont="1" applyAlignment="1">
      <alignment horizontal="center" vertical="center" wrapText="1"/>
    </xf>
    <xf numFmtId="0" fontId="10" fillId="0" borderId="0" xfId="0" applyFont="1" applyAlignment="1">
      <alignment horizontal="center" vertical="center" wrapText="1"/>
    </xf>
    <xf numFmtId="0" fontId="4" fillId="0" borderId="0" xfId="0" applyFont="1"/>
    <xf numFmtId="0" fontId="9" fillId="0" borderId="18" xfId="0" applyFont="1" applyBorder="1" applyAlignment="1">
      <alignment horizontal="left" vertical="center" wrapText="1"/>
    </xf>
    <xf numFmtId="0" fontId="17" fillId="3" borderId="2" xfId="1" applyFont="1" applyFill="1" applyBorder="1" applyAlignment="1">
      <alignment horizontal="left" vertical="center"/>
    </xf>
    <xf numFmtId="0" fontId="16" fillId="3" borderId="2" xfId="0" applyFont="1" applyFill="1" applyBorder="1" applyAlignment="1">
      <alignment horizontal="left" vertical="center" wrapText="1"/>
    </xf>
    <xf numFmtId="0" fontId="9" fillId="0" borderId="1" xfId="0" applyFont="1" applyBorder="1" applyAlignment="1">
      <alignment horizontal="center" vertical="center"/>
    </xf>
    <xf numFmtId="0" fontId="9" fillId="0" borderId="1" xfId="0" applyFont="1" applyBorder="1" applyAlignment="1">
      <alignment vertical="center" wrapText="1"/>
    </xf>
    <xf numFmtId="0" fontId="9" fillId="0" borderId="1" xfId="0" applyFont="1" applyBorder="1" applyAlignment="1">
      <alignment horizontal="left" vertical="center" wrapText="1"/>
    </xf>
    <xf numFmtId="0" fontId="9" fillId="0" borderId="1" xfId="0" applyFont="1" applyBorder="1" applyAlignment="1">
      <alignment horizontal="center" vertical="center" wrapText="1"/>
    </xf>
    <xf numFmtId="0" fontId="15" fillId="3" borderId="2"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5" fillId="3" borderId="2" xfId="0" applyFont="1" applyFill="1" applyBorder="1" applyAlignment="1">
      <alignment horizontal="left" vertical="top" wrapText="1"/>
    </xf>
    <xf numFmtId="0" fontId="13" fillId="0" borderId="18" xfId="0" applyFont="1" applyBorder="1" applyAlignment="1">
      <alignment horizontal="center" vertical="center" wrapText="1"/>
    </xf>
    <xf numFmtId="0" fontId="13" fillId="0" borderId="18" xfId="0" applyFont="1" applyBorder="1" applyAlignment="1">
      <alignment horizontal="left" vertical="center" wrapText="1"/>
    </xf>
    <xf numFmtId="0" fontId="13" fillId="2" borderId="18" xfId="0" applyFont="1" applyFill="1" applyBorder="1" applyAlignment="1">
      <alignment horizontal="left" vertical="center" wrapText="1"/>
    </xf>
    <xf numFmtId="0" fontId="13" fillId="2" borderId="18" xfId="0" applyFont="1" applyFill="1" applyBorder="1" applyAlignment="1">
      <alignment horizontal="center" vertical="center" wrapText="1"/>
    </xf>
    <xf numFmtId="0" fontId="15" fillId="2" borderId="18"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2" borderId="18" xfId="0" applyFont="1" applyFill="1" applyBorder="1" applyAlignment="1">
      <alignment vertical="center" wrapText="1"/>
    </xf>
    <xf numFmtId="0" fontId="13" fillId="0" borderId="1" xfId="0" applyFont="1" applyBorder="1" applyAlignment="1">
      <alignment vertical="center" wrapText="1"/>
    </xf>
    <xf numFmtId="0" fontId="0" fillId="0" borderId="0" xfId="0" applyAlignment="1">
      <alignment horizontal="center" vertical="center"/>
    </xf>
    <xf numFmtId="0" fontId="0" fillId="0" borderId="1" xfId="0" applyBorder="1" applyAlignment="1">
      <alignment horizontal="center" vertical="center"/>
    </xf>
    <xf numFmtId="20" fontId="0" fillId="0" borderId="18" xfId="0" applyNumberFormat="1" applyBorder="1" applyAlignment="1">
      <alignment horizontal="center" vertical="center"/>
    </xf>
    <xf numFmtId="0" fontId="0" fillId="0" borderId="18" xfId="0" applyBorder="1" applyAlignment="1">
      <alignment horizontal="center" vertical="center"/>
    </xf>
    <xf numFmtId="0" fontId="0" fillId="0" borderId="18" xfId="0" applyBorder="1" applyAlignment="1">
      <alignment horizontal="left" vertical="center" wrapText="1"/>
    </xf>
    <xf numFmtId="0" fontId="9" fillId="0" borderId="0" xfId="0" applyFont="1" applyAlignment="1">
      <alignment vertical="center"/>
    </xf>
    <xf numFmtId="0" fontId="9" fillId="0" borderId="1" xfId="0" applyFont="1" applyBorder="1" applyAlignment="1">
      <alignment horizontal="left" wrapText="1"/>
    </xf>
    <xf numFmtId="0" fontId="9" fillId="0" borderId="1" xfId="0" applyFont="1" applyBorder="1" applyAlignment="1">
      <alignment horizontal="center" wrapText="1"/>
    </xf>
    <xf numFmtId="0" fontId="9" fillId="0" borderId="29" xfId="0" applyFont="1" applyBorder="1" applyAlignment="1">
      <alignment horizontal="left" vertical="center" wrapText="1"/>
    </xf>
    <xf numFmtId="0" fontId="9" fillId="0" borderId="30" xfId="0" applyFont="1" applyBorder="1" applyAlignment="1">
      <alignment horizontal="center" vertical="center" wrapText="1"/>
    </xf>
    <xf numFmtId="0" fontId="9" fillId="0" borderId="1" xfId="0" applyFont="1" applyBorder="1"/>
    <xf numFmtId="0" fontId="9" fillId="0" borderId="1" xfId="0" applyFont="1" applyBorder="1" applyAlignment="1">
      <alignment wrapText="1"/>
    </xf>
    <xf numFmtId="0" fontId="0" fillId="0" borderId="1" xfId="0" applyBorder="1"/>
    <xf numFmtId="0" fontId="0" fillId="0" borderId="0" xfId="0" applyAlignment="1">
      <alignment horizontal="center" vertical="center" wrapText="1"/>
    </xf>
    <xf numFmtId="0" fontId="9" fillId="0" borderId="0" xfId="0" applyFont="1" applyAlignment="1">
      <alignment horizontal="left"/>
    </xf>
    <xf numFmtId="0" fontId="0" fillId="0" borderId="0" xfId="0" applyAlignment="1">
      <alignment wrapText="1"/>
    </xf>
    <xf numFmtId="0" fontId="0" fillId="0" borderId="1" xfId="0" applyBorder="1" applyAlignment="1">
      <alignment horizontal="center" vertical="center" wrapText="1"/>
    </xf>
    <xf numFmtId="20" fontId="0" fillId="0" borderId="1" xfId="0" applyNumberFormat="1" applyBorder="1" applyAlignment="1">
      <alignment horizontal="center" vertical="center" wrapText="1"/>
    </xf>
    <xf numFmtId="0" fontId="0" fillId="0" borderId="1" xfId="0" applyBorder="1" applyAlignment="1">
      <alignment horizontal="left" vertical="center" wrapText="1"/>
    </xf>
    <xf numFmtId="15" fontId="0" fillId="0" borderId="1" xfId="0" applyNumberFormat="1" applyBorder="1" applyAlignment="1">
      <alignment horizontal="center" vertical="center"/>
    </xf>
    <xf numFmtId="20" fontId="0" fillId="0" borderId="1" xfId="0" quotePrefix="1" applyNumberFormat="1" applyBorder="1" applyAlignment="1">
      <alignment horizontal="center" vertical="center"/>
    </xf>
    <xf numFmtId="0" fontId="0" fillId="0" borderId="18" xfId="0" applyBorder="1" applyAlignment="1">
      <alignment horizontal="center" vertical="center" wrapText="1"/>
    </xf>
    <xf numFmtId="0" fontId="0" fillId="0" borderId="32" xfId="0"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wrapText="1"/>
    </xf>
    <xf numFmtId="20"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4" borderId="1" xfId="0" applyFill="1" applyBorder="1" applyAlignment="1">
      <alignment horizontal="center" vertical="center"/>
    </xf>
    <xf numFmtId="15" fontId="9" fillId="0" borderId="1" xfId="0" applyNumberFormat="1" applyFont="1" applyBorder="1"/>
    <xf numFmtId="0" fontId="16" fillId="3" borderId="2" xfId="0" applyFont="1" applyFill="1" applyBorder="1" applyAlignment="1">
      <alignment horizontal="left" vertical="center"/>
    </xf>
    <xf numFmtId="0" fontId="9" fillId="2" borderId="18" xfId="0" applyFont="1" applyFill="1" applyBorder="1" applyAlignment="1">
      <alignment horizontal="left" vertical="center"/>
    </xf>
    <xf numFmtId="0" fontId="9" fillId="0" borderId="18" xfId="0" applyFont="1" applyBorder="1" applyAlignment="1">
      <alignment horizontal="left" vertical="center"/>
    </xf>
    <xf numFmtId="0" fontId="18" fillId="0" borderId="18" xfId="0" applyFont="1" applyBorder="1" applyAlignment="1">
      <alignment horizontal="left" vertical="center"/>
    </xf>
    <xf numFmtId="0" fontId="14" fillId="0" borderId="1" xfId="0" applyFont="1" applyBorder="1" applyAlignment="1">
      <alignment horizontal="left" vertical="center"/>
    </xf>
    <xf numFmtId="0" fontId="5" fillId="0" borderId="0" xfId="0" applyFont="1" applyAlignment="1">
      <alignment horizontal="left"/>
    </xf>
    <xf numFmtId="0" fontId="13" fillId="0" borderId="1" xfId="0" applyFont="1" applyBorder="1" applyAlignment="1">
      <alignment horizontal="left" wrapText="1"/>
    </xf>
    <xf numFmtId="14" fontId="9" fillId="0" borderId="1" xfId="0" applyNumberFormat="1" applyFont="1" applyBorder="1" applyAlignment="1">
      <alignment horizontal="center" wrapText="1"/>
    </xf>
    <xf numFmtId="14" fontId="9" fillId="0" borderId="1" xfId="0" applyNumberFormat="1" applyFont="1" applyBorder="1" applyAlignment="1">
      <alignment horizontal="center" vertical="center" wrapText="1"/>
    </xf>
    <xf numFmtId="20" fontId="0" fillId="0" borderId="1" xfId="0" quotePrefix="1" applyNumberFormat="1" applyBorder="1" applyAlignment="1">
      <alignment horizontal="center" vertical="center" wrapText="1"/>
    </xf>
    <xf numFmtId="0" fontId="15" fillId="0" borderId="18" xfId="0" applyFont="1" applyBorder="1" applyAlignment="1">
      <alignment horizontal="center" vertical="center" wrapText="1"/>
    </xf>
    <xf numFmtId="0" fontId="14" fillId="0" borderId="1" xfId="0" applyFont="1" applyBorder="1" applyAlignment="1">
      <alignment horizontal="center" vertical="center" wrapText="1"/>
    </xf>
    <xf numFmtId="15" fontId="9" fillId="0" borderId="1" xfId="0" applyNumberFormat="1" applyFont="1" applyBorder="1" applyAlignment="1">
      <alignment horizontal="center" vertical="center" wrapText="1"/>
    </xf>
    <xf numFmtId="15" fontId="0" fillId="0" borderId="1" xfId="0" applyNumberFormat="1" applyBorder="1" applyAlignment="1">
      <alignment horizontal="center" vertical="center" wrapText="1"/>
    </xf>
    <xf numFmtId="0" fontId="13" fillId="0" borderId="1" xfId="0" applyFont="1" applyBorder="1" applyAlignment="1">
      <alignment horizontal="left" vertical="top" wrapText="1"/>
    </xf>
    <xf numFmtId="0" fontId="0" fillId="0" borderId="17" xfId="0" applyBorder="1" applyAlignment="1">
      <alignment horizontal="left"/>
    </xf>
    <xf numFmtId="0" fontId="13" fillId="0" borderId="1" xfId="0" applyFont="1" applyBorder="1" applyAlignment="1">
      <alignment wrapText="1"/>
    </xf>
    <xf numFmtId="0" fontId="13" fillId="0" borderId="0" xfId="0" applyFont="1" applyAlignment="1">
      <alignment wrapText="1"/>
    </xf>
    <xf numFmtId="14" fontId="4" fillId="0" borderId="1" xfId="0" applyNumberFormat="1" applyFont="1" applyBorder="1" applyAlignment="1">
      <alignment wrapText="1"/>
    </xf>
    <xf numFmtId="0" fontId="9" fillId="0" borderId="18" xfId="0" applyFont="1" applyBorder="1" applyAlignment="1">
      <alignment horizontal="left" vertical="top" wrapText="1"/>
    </xf>
    <xf numFmtId="0" fontId="13" fillId="0" borderId="1" xfId="0" applyFont="1" applyBorder="1" applyAlignment="1">
      <alignment horizontal="center" wrapText="1"/>
    </xf>
    <xf numFmtId="14" fontId="13" fillId="0" borderId="1" xfId="0" applyNumberFormat="1" applyFont="1" applyBorder="1" applyAlignment="1">
      <alignment wrapText="1"/>
    </xf>
    <xf numFmtId="0" fontId="14" fillId="0" borderId="1" xfId="0" applyFont="1" applyBorder="1" applyAlignment="1">
      <alignment wrapText="1"/>
    </xf>
    <xf numFmtId="14" fontId="9" fillId="0" borderId="1" xfId="0" applyNumberFormat="1" applyFont="1" applyBorder="1" applyAlignment="1">
      <alignment wrapText="1"/>
    </xf>
    <xf numFmtId="0" fontId="15" fillId="3" borderId="6"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15" fillId="3" borderId="8"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3" fillId="3" borderId="9" xfId="0" applyFont="1" applyFill="1" applyBorder="1" applyAlignment="1">
      <alignment horizontal="center" vertical="center"/>
    </xf>
    <xf numFmtId="0" fontId="3" fillId="3" borderId="7" xfId="0" applyFont="1" applyFill="1" applyBorder="1" applyAlignment="1">
      <alignment horizontal="center" vertical="center" wrapText="1"/>
    </xf>
    <xf numFmtId="0" fontId="0" fillId="0" borderId="1" xfId="0" applyBorder="1" applyAlignment="1">
      <alignment horizontal="left" wrapText="1"/>
    </xf>
    <xf numFmtId="0" fontId="0" fillId="0" borderId="1" xfId="0" applyBorder="1" applyAlignment="1">
      <alignment horizontal="left" vertical="top" wrapText="1"/>
    </xf>
    <xf numFmtId="0" fontId="0" fillId="0" borderId="1" xfId="0" applyBorder="1" applyAlignment="1">
      <alignment horizontal="center" wrapText="1"/>
    </xf>
    <xf numFmtId="15" fontId="9" fillId="0" borderId="1" xfId="0" applyNumberFormat="1" applyFont="1" applyBorder="1" applyAlignment="1">
      <alignment vertical="center" wrapText="1"/>
    </xf>
    <xf numFmtId="0" fontId="9" fillId="0" borderId="34" xfId="0" applyFont="1" applyBorder="1" applyAlignment="1">
      <alignment horizontal="left" vertical="center" wrapText="1"/>
    </xf>
    <xf numFmtId="0" fontId="21" fillId="0" borderId="1" xfId="0" applyFont="1" applyBorder="1" applyAlignment="1">
      <alignment vertical="center" wrapText="1"/>
    </xf>
    <xf numFmtId="0" fontId="9" fillId="0" borderId="33" xfId="0" applyFont="1" applyBorder="1" applyAlignment="1">
      <alignment horizontal="center" vertical="center" wrapText="1"/>
    </xf>
    <xf numFmtId="0" fontId="15" fillId="0" borderId="1" xfId="0" applyFont="1" applyBorder="1" applyAlignment="1">
      <alignment horizontal="center" vertical="center" wrapText="1"/>
    </xf>
    <xf numFmtId="0" fontId="14" fillId="5" borderId="1" xfId="0" applyFont="1" applyFill="1" applyBorder="1" applyAlignment="1">
      <alignment horizontal="center"/>
    </xf>
    <xf numFmtId="14" fontId="9" fillId="0" borderId="18" xfId="0" applyNumberFormat="1" applyFont="1" applyBorder="1" applyAlignment="1">
      <alignment horizontal="center" vertical="center" wrapText="1"/>
    </xf>
    <xf numFmtId="0" fontId="14" fillId="5" borderId="18" xfId="0" applyFont="1" applyFill="1" applyBorder="1" applyAlignment="1">
      <alignment horizontal="left" vertical="center"/>
    </xf>
    <xf numFmtId="0" fontId="9" fillId="0" borderId="18" xfId="0" applyFont="1" applyBorder="1" applyAlignment="1">
      <alignment horizontal="center" vertical="center" wrapText="1"/>
    </xf>
    <xf numFmtId="0" fontId="13" fillId="6" borderId="1" xfId="0" applyFont="1" applyFill="1" applyBorder="1" applyAlignment="1">
      <alignment horizontal="left" wrapText="1"/>
    </xf>
    <xf numFmtId="0" fontId="14" fillId="6" borderId="18" xfId="0" applyFont="1" applyFill="1" applyBorder="1" applyAlignment="1">
      <alignment horizontal="left" vertical="center"/>
    </xf>
    <xf numFmtId="0" fontId="9" fillId="0" borderId="18" xfId="0" applyFont="1" applyBorder="1" applyAlignment="1">
      <alignment vertical="center"/>
    </xf>
    <xf numFmtId="0" fontId="14" fillId="6" borderId="18" xfId="0" applyFont="1" applyFill="1" applyBorder="1" applyAlignment="1">
      <alignment horizontal="center" vertical="center"/>
    </xf>
    <xf numFmtId="164" fontId="9" fillId="0" borderId="18" xfId="0" applyNumberFormat="1" applyFont="1" applyBorder="1" applyAlignment="1">
      <alignment horizontal="left" vertical="center" wrapText="1"/>
    </xf>
    <xf numFmtId="15" fontId="9" fillId="0" borderId="1" xfId="0" applyNumberFormat="1" applyFont="1" applyBorder="1" applyAlignment="1">
      <alignment horizontal="left" vertical="center" wrapText="1"/>
    </xf>
    <xf numFmtId="15" fontId="13" fillId="0" borderId="18" xfId="0" applyNumberFormat="1" applyFont="1" applyBorder="1" applyAlignment="1">
      <alignment horizontal="center" vertical="center" wrapText="1"/>
    </xf>
    <xf numFmtId="0" fontId="14" fillId="0" borderId="18" xfId="0" applyFont="1" applyBorder="1" applyAlignment="1">
      <alignment horizontal="left" vertical="center"/>
    </xf>
    <xf numFmtId="0" fontId="9" fillId="7" borderId="1" xfId="0" applyFont="1" applyFill="1" applyBorder="1" applyAlignment="1">
      <alignment horizontal="center" wrapText="1"/>
    </xf>
    <xf numFmtId="0" fontId="9" fillId="7" borderId="1" xfId="0" applyFont="1" applyFill="1" applyBorder="1" applyAlignment="1">
      <alignment wrapText="1"/>
    </xf>
    <xf numFmtId="15" fontId="13" fillId="0" borderId="1" xfId="0" applyNumberFormat="1" applyFont="1" applyBorder="1" applyAlignment="1">
      <alignment horizontal="center" vertical="center" wrapText="1"/>
    </xf>
    <xf numFmtId="164" fontId="9" fillId="8" borderId="18" xfId="0" applyNumberFormat="1" applyFont="1" applyFill="1" applyBorder="1" applyAlignment="1">
      <alignment horizontal="left" vertical="center" wrapText="1"/>
    </xf>
    <xf numFmtId="0" fontId="9" fillId="8" borderId="18" xfId="0" applyFont="1" applyFill="1" applyBorder="1" applyAlignment="1">
      <alignment horizontal="left" vertical="center" wrapText="1"/>
    </xf>
    <xf numFmtId="0" fontId="9" fillId="8" borderId="18" xfId="0" applyFont="1" applyFill="1" applyBorder="1" applyAlignment="1">
      <alignment horizontal="left" vertical="top" wrapText="1"/>
    </xf>
    <xf numFmtId="0" fontId="9" fillId="8" borderId="18" xfId="0" applyFont="1" applyFill="1" applyBorder="1" applyAlignment="1">
      <alignment horizontal="left" vertical="center"/>
    </xf>
    <xf numFmtId="0" fontId="18" fillId="8" borderId="18" xfId="0" applyFont="1" applyFill="1" applyBorder="1" applyAlignment="1">
      <alignment horizontal="left" vertical="center"/>
    </xf>
    <xf numFmtId="0" fontId="14" fillId="8" borderId="1" xfId="0" applyFont="1" applyFill="1" applyBorder="1" applyAlignment="1">
      <alignment horizontal="left" vertical="center"/>
    </xf>
    <xf numFmtId="0" fontId="13" fillId="8" borderId="1" xfId="0" applyFont="1" applyFill="1" applyBorder="1" applyAlignment="1">
      <alignment horizontal="left" wrapText="1"/>
    </xf>
    <xf numFmtId="15" fontId="9" fillId="0" borderId="30" xfId="0" applyNumberFormat="1" applyFont="1" applyBorder="1" applyAlignment="1">
      <alignment horizontal="center" vertical="center" wrapText="1"/>
    </xf>
    <xf numFmtId="0" fontId="13" fillId="6" borderId="1" xfId="0" applyFont="1" applyFill="1" applyBorder="1" applyAlignment="1">
      <alignment horizontal="center" vertical="center" wrapText="1"/>
    </xf>
    <xf numFmtId="0" fontId="14" fillId="5" borderId="1" xfId="0" applyFont="1" applyFill="1" applyBorder="1" applyAlignment="1">
      <alignment horizontal="center" vertical="center"/>
    </xf>
    <xf numFmtId="15" fontId="0" fillId="0" borderId="1" xfId="0" quotePrefix="1" applyNumberFormat="1" applyBorder="1" applyAlignment="1">
      <alignment vertical="center"/>
    </xf>
    <xf numFmtId="20" fontId="0" fillId="0" borderId="0" xfId="0" applyNumberFormat="1" applyAlignment="1">
      <alignment horizontal="center" vertical="center"/>
    </xf>
    <xf numFmtId="0" fontId="13" fillId="0" borderId="0" xfId="0" applyFont="1" applyAlignment="1">
      <alignment horizontal="left" vertical="center" wrapText="1" indent="1"/>
    </xf>
    <xf numFmtId="0" fontId="13" fillId="0" borderId="1" xfId="0" applyFont="1" applyBorder="1" applyAlignment="1">
      <alignment horizontal="left" vertical="center" wrapText="1" indent="1"/>
    </xf>
    <xf numFmtId="0" fontId="14" fillId="0" borderId="18" xfId="0" applyFont="1" applyBorder="1" applyAlignment="1">
      <alignment horizontal="center" vertical="center"/>
    </xf>
    <xf numFmtId="0" fontId="0" fillId="0" borderId="1" xfId="0" applyBorder="1" applyAlignment="1">
      <alignment horizontal="left"/>
    </xf>
    <xf numFmtId="0" fontId="5" fillId="0" borderId="1" xfId="0" applyFont="1" applyBorder="1" applyAlignment="1">
      <alignment horizontal="left"/>
    </xf>
    <xf numFmtId="0" fontId="9" fillId="0" borderId="18" xfId="0" applyFont="1" applyBorder="1" applyAlignment="1">
      <alignment horizontal="center" vertical="center"/>
    </xf>
    <xf numFmtId="15" fontId="9" fillId="0" borderId="1" xfId="0" applyNumberFormat="1" applyFont="1" applyBorder="1" applyAlignment="1">
      <alignment horizontal="center" wrapText="1"/>
    </xf>
    <xf numFmtId="15" fontId="9" fillId="0" borderId="1" xfId="0" applyNumberFormat="1" applyFont="1" applyBorder="1" applyAlignment="1">
      <alignment wrapText="1"/>
    </xf>
    <xf numFmtId="0" fontId="13" fillId="0" borderId="18" xfId="0" applyFont="1" applyBorder="1" applyAlignment="1">
      <alignment wrapText="1"/>
    </xf>
    <xf numFmtId="0" fontId="13" fillId="0" borderId="18" xfId="0" applyFont="1" applyBorder="1" applyAlignment="1">
      <alignment horizontal="left" vertical="top" wrapText="1"/>
    </xf>
    <xf numFmtId="0" fontId="13" fillId="0" borderId="0" xfId="0" applyFont="1" applyAlignment="1">
      <alignment horizontal="left" vertical="top" wrapText="1"/>
    </xf>
    <xf numFmtId="0" fontId="13" fillId="0" borderId="0" xfId="0" applyFont="1" applyAlignment="1">
      <alignment horizontal="left" vertical="center" wrapText="1"/>
    </xf>
    <xf numFmtId="0" fontId="13" fillId="0" borderId="0" xfId="0" applyFont="1" applyAlignment="1">
      <alignment horizontal="left" wrapText="1"/>
    </xf>
    <xf numFmtId="0" fontId="24" fillId="0" borderId="1" xfId="0" applyFont="1" applyBorder="1" applyAlignment="1">
      <alignment wrapText="1"/>
    </xf>
    <xf numFmtId="0" fontId="24" fillId="0" borderId="1" xfId="0" applyFont="1" applyBorder="1"/>
    <xf numFmtId="0" fontId="14" fillId="0" borderId="18" xfId="0" applyFont="1" applyFill="1" applyBorder="1" applyAlignment="1">
      <alignment horizontal="left" vertical="center"/>
    </xf>
    <xf numFmtId="0" fontId="14" fillId="0" borderId="18" xfId="0" applyFont="1" applyFill="1" applyBorder="1" applyAlignment="1">
      <alignment horizontal="center" vertical="center"/>
    </xf>
    <xf numFmtId="164" fontId="9" fillId="0" borderId="1" xfId="0" applyNumberFormat="1" applyFont="1" applyBorder="1" applyAlignment="1">
      <alignment horizontal="left" vertical="center" wrapText="1"/>
    </xf>
    <xf numFmtId="0" fontId="9" fillId="0" borderId="1" xfId="0" applyFont="1" applyBorder="1" applyAlignment="1">
      <alignment horizontal="left" vertical="center"/>
    </xf>
    <xf numFmtId="0" fontId="18" fillId="0" borderId="1" xfId="0" applyFont="1" applyBorder="1" applyAlignment="1">
      <alignment horizontal="left" vertical="center"/>
    </xf>
    <xf numFmtId="0" fontId="9" fillId="0" borderId="1" xfId="0" applyFont="1" applyBorder="1" applyAlignment="1">
      <alignment horizontal="left" vertical="top" wrapText="1"/>
    </xf>
    <xf numFmtId="20" fontId="0" fillId="0" borderId="0" xfId="0" applyNumberFormat="1" applyAlignment="1">
      <alignment horizontal="center"/>
    </xf>
    <xf numFmtId="0" fontId="9" fillId="6"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3" fillId="2" borderId="0" xfId="0" applyFont="1" applyFill="1" applyBorder="1" applyAlignment="1">
      <alignment vertical="center" wrapText="1"/>
    </xf>
    <xf numFmtId="0" fontId="25" fillId="0" borderId="0" xfId="0" applyFont="1" applyAlignment="1">
      <alignment wrapText="1"/>
    </xf>
    <xf numFmtId="0" fontId="13" fillId="0" borderId="0" xfId="0" applyFont="1" applyAlignment="1">
      <alignment vertical="center" wrapText="1"/>
    </xf>
    <xf numFmtId="0" fontId="9" fillId="0" borderId="28" xfId="0" applyFont="1" applyBorder="1" applyAlignment="1">
      <alignment horizontal="left" vertical="center" wrapText="1"/>
    </xf>
    <xf numFmtId="0" fontId="14" fillId="5" borderId="18" xfId="0" applyFont="1" applyFill="1" applyBorder="1" applyAlignment="1">
      <alignment horizontal="center" vertical="center"/>
    </xf>
    <xf numFmtId="14" fontId="4" fillId="0" borderId="1" xfId="0" applyNumberFormat="1" applyFont="1" applyBorder="1" applyAlignment="1">
      <alignment horizontal="center" vertical="center" wrapText="1"/>
    </xf>
    <xf numFmtId="0" fontId="13" fillId="0" borderId="33" xfId="0" applyFont="1" applyBorder="1" applyAlignment="1">
      <alignment vertical="center" wrapText="1"/>
    </xf>
    <xf numFmtId="0" fontId="14" fillId="0" borderId="1" xfId="0" applyFont="1" applyFill="1" applyBorder="1" applyAlignment="1">
      <alignment horizontal="center" vertical="center"/>
    </xf>
    <xf numFmtId="0" fontId="9" fillId="0" borderId="0" xfId="0" applyFont="1" applyAlignment="1">
      <alignment vertical="top" wrapText="1"/>
    </xf>
    <xf numFmtId="0" fontId="9" fillId="0" borderId="1" xfId="0" applyFont="1" applyBorder="1" applyAlignment="1">
      <alignment vertical="top" wrapText="1"/>
    </xf>
    <xf numFmtId="0" fontId="9" fillId="0" borderId="0" xfId="0" applyFont="1" applyAlignment="1">
      <alignment horizontal="left" vertical="top" wrapText="1"/>
    </xf>
    <xf numFmtId="0" fontId="25" fillId="0" borderId="0" xfId="0" applyFont="1" applyAlignment="1">
      <alignment vertical="center" wrapText="1"/>
    </xf>
    <xf numFmtId="0" fontId="9" fillId="5" borderId="1" xfId="0" applyFont="1" applyFill="1" applyBorder="1" applyAlignment="1">
      <alignment horizontal="center" wrapText="1"/>
    </xf>
    <xf numFmtId="0" fontId="9" fillId="5" borderId="1" xfId="0" applyFont="1" applyFill="1" applyBorder="1" applyAlignment="1">
      <alignment wrapText="1"/>
    </xf>
    <xf numFmtId="0" fontId="9" fillId="0" borderId="1" xfId="0" applyFont="1" applyFill="1" applyBorder="1" applyAlignment="1">
      <alignment horizontal="center" vertical="center" wrapText="1"/>
    </xf>
    <xf numFmtId="15" fontId="9" fillId="0" borderId="1" xfId="0" applyNumberFormat="1" applyFont="1" applyFill="1" applyBorder="1" applyAlignment="1">
      <alignment horizontal="center" vertical="center" wrapText="1"/>
    </xf>
    <xf numFmtId="0" fontId="9" fillId="0" borderId="18" xfId="0" applyFont="1" applyFill="1" applyBorder="1" applyAlignment="1">
      <alignment horizontal="left" vertical="center" wrapText="1"/>
    </xf>
    <xf numFmtId="0" fontId="9" fillId="0" borderId="1" xfId="0" applyFont="1" applyFill="1" applyBorder="1" applyAlignment="1">
      <alignment horizontal="left" vertical="center" wrapText="1"/>
    </xf>
    <xf numFmtId="0" fontId="9" fillId="0" borderId="1" xfId="0" applyFont="1" applyFill="1" applyBorder="1" applyAlignment="1">
      <alignment horizontal="center" vertical="center"/>
    </xf>
    <xf numFmtId="0" fontId="13" fillId="0" borderId="1" xfId="0" applyFont="1" applyFill="1" applyBorder="1" applyAlignment="1">
      <alignment horizontal="left" vertical="center" wrapText="1"/>
    </xf>
    <xf numFmtId="0" fontId="9" fillId="0" borderId="1" xfId="0" applyFont="1" applyFill="1" applyBorder="1" applyAlignment="1">
      <alignment horizontal="center" wrapText="1"/>
    </xf>
    <xf numFmtId="0" fontId="9" fillId="0" borderId="1" xfId="0" applyFont="1" applyFill="1" applyBorder="1" applyAlignment="1">
      <alignment horizontal="left" wrapText="1"/>
    </xf>
    <xf numFmtId="0" fontId="9" fillId="0" borderId="0" xfId="0" applyFont="1" applyFill="1"/>
    <xf numFmtId="0" fontId="0" fillId="0" borderId="0" xfId="0" applyFill="1"/>
    <xf numFmtId="0" fontId="9" fillId="0" borderId="18" xfId="0" applyFont="1" applyFill="1" applyBorder="1" applyAlignment="1">
      <alignment horizontal="left" vertical="top" wrapText="1"/>
    </xf>
    <xf numFmtId="15" fontId="9" fillId="0" borderId="18" xfId="0" applyNumberFormat="1" applyFont="1" applyBorder="1" applyAlignment="1">
      <alignment horizontal="left" vertical="center" wrapText="1"/>
    </xf>
    <xf numFmtId="14" fontId="13" fillId="0" borderId="1" xfId="0" applyNumberFormat="1" applyFont="1" applyBorder="1" applyAlignment="1">
      <alignment vertical="center" wrapText="1"/>
    </xf>
    <xf numFmtId="0" fontId="13" fillId="0" borderId="1" xfId="0" applyFont="1" applyBorder="1" applyAlignment="1">
      <alignment horizontal="right" vertical="top" wrapText="1"/>
    </xf>
    <xf numFmtId="0" fontId="13" fillId="0" borderId="1" xfId="0" applyFont="1" applyBorder="1" applyAlignment="1">
      <alignment horizontal="center" vertical="center"/>
    </xf>
    <xf numFmtId="0" fontId="15" fillId="2" borderId="18" xfId="0" applyFont="1" applyFill="1" applyBorder="1" applyAlignment="1">
      <alignment horizontal="left" vertical="center" wrapText="1"/>
    </xf>
    <xf numFmtId="0" fontId="18" fillId="0" borderId="1" xfId="0" applyFont="1" applyBorder="1" applyAlignment="1">
      <alignment wrapText="1"/>
    </xf>
    <xf numFmtId="0" fontId="14" fillId="2" borderId="18" xfId="0" applyFont="1" applyFill="1" applyBorder="1" applyAlignment="1">
      <alignment horizontal="left" vertical="center"/>
    </xf>
    <xf numFmtId="0" fontId="16" fillId="3" borderId="21" xfId="0" applyFont="1" applyFill="1" applyBorder="1" applyAlignment="1">
      <alignment horizontal="left" vertical="center" wrapText="1"/>
    </xf>
    <xf numFmtId="0" fontId="16" fillId="3" borderId="7" xfId="0" applyFont="1" applyFill="1" applyBorder="1" applyAlignment="1">
      <alignment horizontal="left" vertical="center" wrapText="1"/>
    </xf>
    <xf numFmtId="0" fontId="16" fillId="3" borderId="6" xfId="0" applyFont="1" applyFill="1" applyBorder="1" applyAlignment="1">
      <alignment horizontal="left" vertical="center" wrapText="1"/>
    </xf>
    <xf numFmtId="0" fontId="15" fillId="0" borderId="10"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1" xfId="0" applyFont="1" applyBorder="1" applyAlignment="1">
      <alignment horizontal="center" vertical="center" wrapText="1"/>
    </xf>
    <xf numFmtId="0" fontId="13" fillId="0" borderId="10" xfId="0" applyFont="1" applyBorder="1" applyAlignment="1">
      <alignment horizontal="left" vertical="center"/>
    </xf>
    <xf numFmtId="0" fontId="13" fillId="0" borderId="12" xfId="0" applyFont="1" applyBorder="1" applyAlignment="1">
      <alignment horizontal="left" vertical="center"/>
    </xf>
    <xf numFmtId="0" fontId="13" fillId="0" borderId="11" xfId="0" applyFont="1" applyBorder="1" applyAlignment="1">
      <alignment horizontal="left" vertical="center"/>
    </xf>
    <xf numFmtId="0" fontId="19" fillId="0" borderId="10"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1" xfId="0" applyFont="1" applyBorder="1" applyAlignment="1">
      <alignment horizontal="center" vertical="center" wrapText="1"/>
    </xf>
    <xf numFmtId="0" fontId="16" fillId="3" borderId="6" xfId="0" applyFont="1" applyFill="1" applyBorder="1" applyAlignment="1">
      <alignment horizontal="left" vertical="center"/>
    </xf>
    <xf numFmtId="0" fontId="16" fillId="3" borderId="7" xfId="0" applyFont="1" applyFill="1" applyBorder="1" applyAlignment="1">
      <alignment horizontal="left" vertical="center"/>
    </xf>
    <xf numFmtId="0" fontId="16" fillId="3" borderId="21" xfId="0" applyFont="1" applyFill="1" applyBorder="1" applyAlignment="1">
      <alignment horizontal="left" vertical="center"/>
    </xf>
    <xf numFmtId="0" fontId="16" fillId="3" borderId="10" xfId="0" applyFont="1" applyFill="1" applyBorder="1" applyAlignment="1">
      <alignment horizontal="left" vertical="center" wrapText="1"/>
    </xf>
    <xf numFmtId="0" fontId="16" fillId="3" borderId="12" xfId="0" applyFont="1" applyFill="1" applyBorder="1" applyAlignment="1">
      <alignment horizontal="left" vertical="center" wrapText="1"/>
    </xf>
    <xf numFmtId="0" fontId="16" fillId="3" borderId="11" xfId="0" applyFont="1" applyFill="1" applyBorder="1" applyAlignment="1">
      <alignment horizontal="left" vertical="center" wrapText="1"/>
    </xf>
    <xf numFmtId="0" fontId="15" fillId="3" borderId="10" xfId="0" applyFont="1" applyFill="1" applyBorder="1" applyAlignment="1">
      <alignment horizontal="center" vertical="center"/>
    </xf>
    <xf numFmtId="0" fontId="15" fillId="3" borderId="12" xfId="0" applyFont="1" applyFill="1" applyBorder="1" applyAlignment="1">
      <alignment horizontal="center" vertical="center"/>
    </xf>
    <xf numFmtId="0" fontId="20" fillId="0" borderId="10" xfId="0" applyFont="1" applyBorder="1" applyAlignment="1">
      <alignment horizontal="center" vertical="center"/>
    </xf>
    <xf numFmtId="0" fontId="20" fillId="0" borderId="12" xfId="0" applyFont="1" applyBorder="1" applyAlignment="1">
      <alignment horizontal="center" vertical="center"/>
    </xf>
    <xf numFmtId="0" fontId="20" fillId="0" borderId="11" xfId="0" applyFont="1" applyBorder="1" applyAlignment="1">
      <alignment horizontal="center" vertical="center"/>
    </xf>
    <xf numFmtId="0" fontId="15" fillId="3" borderId="6" xfId="0" applyFont="1" applyFill="1" applyBorder="1" applyAlignment="1">
      <alignment horizontal="center" vertical="center" wrapText="1"/>
    </xf>
    <xf numFmtId="0" fontId="15" fillId="3" borderId="7" xfId="0" applyFont="1" applyFill="1" applyBorder="1" applyAlignment="1">
      <alignment horizontal="center" vertical="center" wrapText="1"/>
    </xf>
    <xf numFmtId="0" fontId="15" fillId="3" borderId="21" xfId="0" applyFont="1" applyFill="1" applyBorder="1" applyAlignment="1">
      <alignment horizontal="center" vertical="center" wrapText="1"/>
    </xf>
    <xf numFmtId="0" fontId="15" fillId="3" borderId="6" xfId="0" applyFont="1" applyFill="1" applyBorder="1" applyAlignment="1">
      <alignment horizontal="left" vertical="center"/>
    </xf>
    <xf numFmtId="0" fontId="15" fillId="3" borderId="21" xfId="0" applyFont="1" applyFill="1" applyBorder="1" applyAlignment="1">
      <alignment horizontal="left" vertical="center"/>
    </xf>
    <xf numFmtId="0" fontId="2" fillId="0" borderId="10"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1" fillId="0" borderId="10" xfId="0" applyFont="1" applyBorder="1" applyAlignment="1">
      <alignment horizontal="center" vertical="top"/>
    </xf>
    <xf numFmtId="0" fontId="1" fillId="0" borderId="12" xfId="0" applyFont="1" applyBorder="1" applyAlignment="1">
      <alignment horizontal="center" vertical="top"/>
    </xf>
    <xf numFmtId="0" fontId="1" fillId="0" borderId="11" xfId="0" applyFont="1" applyBorder="1" applyAlignment="1">
      <alignment horizontal="center" vertical="top"/>
    </xf>
    <xf numFmtId="0" fontId="15" fillId="3" borderId="4" xfId="0" applyFont="1" applyFill="1" applyBorder="1" applyAlignment="1">
      <alignment horizontal="center" vertical="center"/>
    </xf>
    <xf numFmtId="0" fontId="15" fillId="3" borderId="31" xfId="0" applyFont="1" applyFill="1" applyBorder="1" applyAlignment="1">
      <alignment horizontal="center" vertical="center"/>
    </xf>
    <xf numFmtId="0" fontId="15" fillId="3" borderId="8" xfId="0" applyFont="1" applyFill="1" applyBorder="1" applyAlignment="1">
      <alignment horizontal="center" vertical="center" wrapText="1"/>
    </xf>
    <xf numFmtId="0" fontId="15" fillId="3" borderId="0" xfId="0" applyFont="1" applyFill="1" applyAlignment="1">
      <alignment horizontal="center" vertical="center" wrapText="1"/>
    </xf>
    <xf numFmtId="0" fontId="15" fillId="3" borderId="6" xfId="0" applyFont="1" applyFill="1" applyBorder="1" applyAlignment="1">
      <alignment horizontal="left" vertical="center" wrapText="1"/>
    </xf>
    <xf numFmtId="0" fontId="15" fillId="3" borderId="21" xfId="0" applyFont="1" applyFill="1" applyBorder="1" applyAlignment="1">
      <alignment horizontal="left" vertical="center" wrapText="1"/>
    </xf>
    <xf numFmtId="0" fontId="15" fillId="3" borderId="11" xfId="0" applyFont="1" applyFill="1" applyBorder="1" applyAlignment="1">
      <alignment horizontal="center" vertical="center"/>
    </xf>
    <xf numFmtId="0" fontId="11" fillId="0" borderId="4"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4" xfId="0" applyFont="1" applyBorder="1" applyAlignment="1">
      <alignment horizontal="center" vertical="center" wrapText="1"/>
    </xf>
    <xf numFmtId="0" fontId="9" fillId="0" borderId="4" xfId="0" applyFont="1" applyBorder="1" applyAlignment="1">
      <alignment horizontal="center" vertical="center"/>
    </xf>
    <xf numFmtId="0" fontId="9" fillId="0" borderId="8" xfId="0" applyFont="1" applyBorder="1" applyAlignment="1">
      <alignment horizontal="center" vertical="center"/>
    </xf>
    <xf numFmtId="0" fontId="9" fillId="0" borderId="19" xfId="0" applyFont="1" applyBorder="1" applyAlignment="1">
      <alignment horizontal="center" vertical="center"/>
    </xf>
    <xf numFmtId="0" fontId="9" fillId="0" borderId="5" xfId="0" applyFont="1" applyBorder="1" applyAlignment="1">
      <alignment horizontal="center" vertical="center"/>
    </xf>
    <xf numFmtId="0" fontId="9" fillId="0" borderId="9" xfId="0" applyFont="1" applyBorder="1" applyAlignment="1">
      <alignment horizontal="center" vertical="center"/>
    </xf>
    <xf numFmtId="0" fontId="9" fillId="0" borderId="14" xfId="0" applyFont="1" applyBorder="1" applyAlignment="1">
      <alignment horizontal="center" vertical="center"/>
    </xf>
    <xf numFmtId="0" fontId="15" fillId="3" borderId="6" xfId="0" applyFont="1" applyFill="1" applyBorder="1" applyAlignment="1">
      <alignment horizontal="center" vertical="center"/>
    </xf>
    <xf numFmtId="0" fontId="15" fillId="3" borderId="21" xfId="0" applyFont="1" applyFill="1" applyBorder="1" applyAlignment="1">
      <alignment horizontal="center" vertical="center"/>
    </xf>
    <xf numFmtId="0" fontId="19" fillId="0" borderId="4" xfId="0" applyFont="1" applyBorder="1" applyAlignment="1">
      <alignment horizontal="center" vertical="center" wrapText="1"/>
    </xf>
    <xf numFmtId="0" fontId="19" fillId="0" borderId="8"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14" xfId="0" applyFont="1" applyBorder="1" applyAlignment="1">
      <alignment horizontal="center" vertical="center" wrapText="1"/>
    </xf>
    <xf numFmtId="0" fontId="15" fillId="3" borderId="10" xfId="0" applyFont="1" applyFill="1" applyBorder="1" applyAlignment="1">
      <alignment horizontal="center" vertical="center" wrapText="1"/>
    </xf>
    <xf numFmtId="0" fontId="15" fillId="3" borderId="12" xfId="0" applyFont="1" applyFill="1" applyBorder="1" applyAlignment="1">
      <alignment horizontal="center" vertical="center" wrapText="1"/>
    </xf>
    <xf numFmtId="0" fontId="15" fillId="3" borderId="11"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3" borderId="17" xfId="0" applyFont="1" applyFill="1" applyBorder="1" applyAlignment="1">
      <alignment horizontal="center" vertical="center"/>
    </xf>
    <xf numFmtId="0" fontId="15" fillId="3" borderId="23" xfId="0" applyFont="1" applyFill="1" applyBorder="1" applyAlignment="1">
      <alignment horizontal="center" vertical="center"/>
    </xf>
    <xf numFmtId="0" fontId="4" fillId="0" borderId="4" xfId="0" applyFont="1" applyBorder="1" applyAlignment="1">
      <alignment horizontal="center" vertical="center"/>
    </xf>
    <xf numFmtId="0" fontId="4" fillId="0" borderId="8" xfId="0" applyFont="1" applyBorder="1" applyAlignment="1">
      <alignment horizontal="center" vertical="center"/>
    </xf>
    <xf numFmtId="0" fontId="4" fillId="0" borderId="19" xfId="0" applyFont="1" applyBorder="1" applyAlignment="1">
      <alignment horizontal="center" vertical="center"/>
    </xf>
    <xf numFmtId="0" fontId="4" fillId="0" borderId="5" xfId="0" applyFont="1" applyBorder="1" applyAlignment="1">
      <alignment horizontal="center" vertical="center"/>
    </xf>
    <xf numFmtId="0" fontId="4" fillId="0" borderId="9" xfId="0" applyFont="1" applyBorder="1" applyAlignment="1">
      <alignment horizontal="center" vertical="center"/>
    </xf>
    <xf numFmtId="0" fontId="4" fillId="0" borderId="14" xfId="0" applyFont="1" applyBorder="1" applyAlignment="1">
      <alignment horizontal="center" vertical="center"/>
    </xf>
    <xf numFmtId="0" fontId="20" fillId="0" borderId="4"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5" xfId="0" applyFont="1" applyBorder="1" applyAlignment="1">
      <alignment horizontal="center" vertical="center" wrapText="1"/>
    </xf>
    <xf numFmtId="0" fontId="20" fillId="0" borderId="9" xfId="0" applyFont="1" applyBorder="1" applyAlignment="1">
      <alignment horizontal="center" vertical="center" wrapText="1"/>
    </xf>
    <xf numFmtId="0" fontId="20" fillId="0" borderId="1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3" xfId="0" applyFont="1" applyBorder="1" applyAlignment="1">
      <alignment horizontal="center" vertical="center" wrapText="1"/>
    </xf>
    <xf numFmtId="0" fontId="15" fillId="3" borderId="25" xfId="0" applyFont="1" applyFill="1" applyBorder="1" applyAlignment="1">
      <alignment horizontal="center" vertical="center" wrapText="1"/>
    </xf>
    <xf numFmtId="0" fontId="15" fillId="3" borderId="26" xfId="0" applyFont="1" applyFill="1" applyBorder="1" applyAlignment="1">
      <alignment horizontal="center" vertical="center" wrapText="1"/>
    </xf>
    <xf numFmtId="0" fontId="15" fillId="3" borderId="27" xfId="0" applyFont="1" applyFill="1" applyBorder="1" applyAlignment="1">
      <alignment horizontal="center" vertical="center" wrapText="1"/>
    </xf>
    <xf numFmtId="0" fontId="15" fillId="3" borderId="24" xfId="0" applyFont="1" applyFill="1" applyBorder="1" applyAlignment="1">
      <alignment horizontal="center" vertical="center" wrapText="1"/>
    </xf>
    <xf numFmtId="0" fontId="15" fillId="3" borderId="28" xfId="0" applyFont="1" applyFill="1" applyBorder="1" applyAlignment="1">
      <alignment horizontal="center" vertical="center" wrapText="1"/>
    </xf>
    <xf numFmtId="0" fontId="0" fillId="0" borderId="10" xfId="0" applyBorder="1" applyAlignment="1">
      <alignment horizontal="center"/>
    </xf>
    <xf numFmtId="0" fontId="0" fillId="0" borderId="12" xfId="0" applyBorder="1" applyAlignment="1">
      <alignment horizontal="center"/>
    </xf>
    <xf numFmtId="0" fontId="0" fillId="0" borderId="11" xfId="0" applyBorder="1" applyAlignment="1">
      <alignment horizontal="center"/>
    </xf>
    <xf numFmtId="0" fontId="11" fillId="0" borderId="10" xfId="0" applyFont="1" applyBorder="1" applyAlignment="1">
      <alignment horizontal="center" vertical="center"/>
    </xf>
    <xf numFmtId="0" fontId="11" fillId="0" borderId="12" xfId="0" applyFont="1" applyBorder="1" applyAlignment="1">
      <alignment horizontal="center" vertical="center"/>
    </xf>
    <xf numFmtId="0" fontId="11" fillId="0" borderId="11" xfId="0" applyFont="1" applyBorder="1" applyAlignment="1">
      <alignment horizontal="center" vertical="center"/>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3" fillId="3" borderId="17" xfId="0" applyFont="1" applyFill="1" applyBorder="1" applyAlignment="1">
      <alignment horizontal="center" vertical="center" wrapText="1"/>
    </xf>
    <xf numFmtId="0" fontId="3" fillId="3" borderId="35" xfId="0" applyFont="1" applyFill="1" applyBorder="1" applyAlignment="1">
      <alignment horizontal="center" vertical="center" wrapText="1"/>
    </xf>
    <xf numFmtId="0" fontId="0" fillId="0" borderId="10" xfId="0" applyBorder="1" applyAlignment="1">
      <alignment horizontal="center" vertical="center"/>
    </xf>
    <xf numFmtId="0" fontId="0" fillId="0" borderId="12" xfId="0" applyBorder="1" applyAlignment="1">
      <alignment horizontal="center" vertical="center"/>
    </xf>
    <xf numFmtId="0" fontId="3" fillId="3" borderId="10" xfId="0" applyFont="1" applyFill="1" applyBorder="1" applyAlignment="1">
      <alignment horizontal="center" vertical="center"/>
    </xf>
    <xf numFmtId="0" fontId="3" fillId="3" borderId="12"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3" fillId="3" borderId="11" xfId="0" applyFont="1" applyFill="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1" xfId="0" applyFont="1" applyBorder="1" applyAlignment="1">
      <alignment horizontal="center" vertical="center"/>
    </xf>
    <xf numFmtId="0" fontId="8" fillId="0" borderId="10"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colors>
    <mruColors>
      <color rgb="FFFFFF99"/>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5.jpeg"/><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3.jpg"/></Relationships>
</file>

<file path=xl/drawings/_rels/drawing5.xml.rels><?xml version="1.0" encoding="UTF-8" standalone="yes"?>
<Relationships xmlns="http://schemas.openxmlformats.org/package/2006/relationships"><Relationship Id="rId3" Type="http://schemas.openxmlformats.org/officeDocument/2006/relationships/image" Target="../media/image8.jpeg"/><Relationship Id="rId2" Type="http://schemas.openxmlformats.org/officeDocument/2006/relationships/image" Target="../media/image5.jpeg"/><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2</xdr:col>
      <xdr:colOff>504825</xdr:colOff>
      <xdr:row>0</xdr:row>
      <xdr:rowOff>342900</xdr:rowOff>
    </xdr:from>
    <xdr:to>
      <xdr:col>4</xdr:col>
      <xdr:colOff>344404</xdr:colOff>
      <xdr:row>0</xdr:row>
      <xdr:rowOff>587148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123950" y="342900"/>
          <a:ext cx="1495425" cy="244248"/>
        </a:xfrm>
        <a:prstGeom prst="rect">
          <a:avLst/>
        </a:prstGeom>
      </xdr:spPr>
    </xdr:pic>
    <xdr:clientData/>
  </xdr:twoCellAnchor>
  <xdr:twoCellAnchor editAs="oneCell">
    <xdr:from>
      <xdr:col>1</xdr:col>
      <xdr:colOff>104775</xdr:colOff>
      <xdr:row>0</xdr:row>
      <xdr:rowOff>175460</xdr:rowOff>
    </xdr:from>
    <xdr:to>
      <xdr:col>2</xdr:col>
      <xdr:colOff>409575</xdr:colOff>
      <xdr:row>0</xdr:row>
      <xdr:rowOff>823160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367966" y="175460"/>
          <a:ext cx="668254" cy="647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166064</xdr:colOff>
      <xdr:row>0</xdr:row>
      <xdr:rowOff>72791</xdr:rowOff>
    </xdr:from>
    <xdr:to>
      <xdr:col>3</xdr:col>
      <xdr:colOff>158750</xdr:colOff>
      <xdr:row>0</xdr:row>
      <xdr:rowOff>1148194</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0171" y="72791"/>
          <a:ext cx="1115275" cy="1075403"/>
        </a:xfrm>
        <a:prstGeom prst="rect">
          <a:avLst/>
        </a:prstGeom>
      </xdr:spPr>
    </xdr:pic>
    <xdr:clientData/>
  </xdr:twoCellAnchor>
  <xdr:twoCellAnchor editAs="oneCell">
    <xdr:from>
      <xdr:col>3</xdr:col>
      <xdr:colOff>364321</xdr:colOff>
      <xdr:row>0</xdr:row>
      <xdr:rowOff>589277</xdr:rowOff>
    </xdr:from>
    <xdr:to>
      <xdr:col>5</xdr:col>
      <xdr:colOff>699554</xdr:colOff>
      <xdr:row>0</xdr:row>
      <xdr:rowOff>905037</xdr:rowOff>
    </xdr:to>
    <xdr:pic>
      <xdr:nvPicPr>
        <xdr:cNvPr id="3" name="Picture 2" descr="Sita Air Text">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45660" y="589277"/>
          <a:ext cx="2027623" cy="31576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200491</xdr:colOff>
      <xdr:row>0</xdr:row>
      <xdr:rowOff>11206</xdr:rowOff>
    </xdr:from>
    <xdr:to>
      <xdr:col>2</xdr:col>
      <xdr:colOff>581850</xdr:colOff>
      <xdr:row>1</xdr:row>
      <xdr:rowOff>68355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2197" y="11206"/>
          <a:ext cx="861110" cy="841561"/>
        </a:xfrm>
        <a:prstGeom prst="rect">
          <a:avLst/>
        </a:prstGeom>
      </xdr:spPr>
    </xdr:pic>
    <xdr:clientData/>
  </xdr:twoCellAnchor>
  <xdr:twoCellAnchor editAs="oneCell">
    <xdr:from>
      <xdr:col>3</xdr:col>
      <xdr:colOff>387281</xdr:colOff>
      <xdr:row>0</xdr:row>
      <xdr:rowOff>486833</xdr:rowOff>
    </xdr:from>
    <xdr:to>
      <xdr:col>5</xdr:col>
      <xdr:colOff>3159</xdr:colOff>
      <xdr:row>0</xdr:row>
      <xdr:rowOff>490296</xdr:rowOff>
    </xdr:to>
    <xdr:pic>
      <xdr:nvPicPr>
        <xdr:cNvPr id="3" name="Picture 2" descr="Sita Air Text">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82681" y="486833"/>
          <a:ext cx="1829927" cy="310862"/>
        </a:xfrm>
        <a:prstGeom prst="rect">
          <a:avLst/>
        </a:prstGeom>
        <a:noFill/>
        <a:ln>
          <a:noFill/>
        </a:ln>
      </xdr:spPr>
    </xdr:pic>
    <xdr:clientData/>
  </xdr:twoCellAnchor>
  <xdr:twoCellAnchor editAs="oneCell">
    <xdr:from>
      <xdr:col>3</xdr:col>
      <xdr:colOff>295275</xdr:colOff>
      <xdr:row>0</xdr:row>
      <xdr:rowOff>323850</xdr:rowOff>
    </xdr:from>
    <xdr:to>
      <xdr:col>5</xdr:col>
      <xdr:colOff>325390</xdr:colOff>
      <xdr:row>0</xdr:row>
      <xdr:rowOff>634773</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3"/>
        <a:stretch>
          <a:fillRect/>
        </a:stretch>
      </xdr:blipFill>
      <xdr:spPr>
        <a:xfrm>
          <a:off x="1485900" y="323850"/>
          <a:ext cx="1857375" cy="3109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336458</xdr:colOff>
      <xdr:row>0</xdr:row>
      <xdr:rowOff>201083</xdr:rowOff>
    </xdr:from>
    <xdr:to>
      <xdr:col>3</xdr:col>
      <xdr:colOff>13883</xdr:colOff>
      <xdr:row>1</xdr:row>
      <xdr:rowOff>250626</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9291" y="201083"/>
          <a:ext cx="859460" cy="853876"/>
        </a:xfrm>
        <a:prstGeom prst="rect">
          <a:avLst/>
        </a:prstGeom>
      </xdr:spPr>
    </xdr:pic>
    <xdr:clientData/>
  </xdr:twoCellAnchor>
  <xdr:twoCellAnchor editAs="oneCell">
    <xdr:from>
      <xdr:col>3</xdr:col>
      <xdr:colOff>217948</xdr:colOff>
      <xdr:row>0</xdr:row>
      <xdr:rowOff>491837</xdr:rowOff>
    </xdr:from>
    <xdr:to>
      <xdr:col>5</xdr:col>
      <xdr:colOff>446101</xdr:colOff>
      <xdr:row>0</xdr:row>
      <xdr:rowOff>787112</xdr:rowOff>
    </xdr:to>
    <xdr:pic>
      <xdr:nvPicPr>
        <xdr:cNvPr id="3" name="Picture 2" descr="Sita Air Text">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30281" y="491837"/>
          <a:ext cx="1969592" cy="29527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78733</xdr:colOff>
      <xdr:row>0</xdr:row>
      <xdr:rowOff>0</xdr:rowOff>
    </xdr:from>
    <xdr:to>
      <xdr:col>2</xdr:col>
      <xdr:colOff>300338</xdr:colOff>
      <xdr:row>0</xdr:row>
      <xdr:rowOff>480541</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3192" y="0"/>
          <a:ext cx="582011" cy="480541"/>
        </a:xfrm>
        <a:prstGeom prst="rect">
          <a:avLst/>
        </a:prstGeom>
      </xdr:spPr>
    </xdr:pic>
    <xdr:clientData/>
  </xdr:twoCellAnchor>
  <xdr:twoCellAnchor editAs="oneCell">
    <xdr:from>
      <xdr:col>2</xdr:col>
      <xdr:colOff>581024</xdr:colOff>
      <xdr:row>0</xdr:row>
      <xdr:rowOff>771525</xdr:rowOff>
    </xdr:from>
    <xdr:to>
      <xdr:col>3</xdr:col>
      <xdr:colOff>390525</xdr:colOff>
      <xdr:row>1</xdr:row>
      <xdr:rowOff>858</xdr:rowOff>
    </xdr:to>
    <xdr:pic>
      <xdr:nvPicPr>
        <xdr:cNvPr id="11" name="Picture 10" descr="Sita Air Text">
          <a:extLst>
            <a:ext uri="{FF2B5EF4-FFF2-40B4-BE49-F238E27FC236}">
              <a16:creationId xmlns:a16="http://schemas.microsoft.com/office/drawing/2014/main" id="{00000000-0008-0000-0400-00000B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71574" y="771525"/>
          <a:ext cx="1276351" cy="238125"/>
        </a:xfrm>
        <a:prstGeom prst="rect">
          <a:avLst/>
        </a:prstGeom>
        <a:noFill/>
        <a:ln>
          <a:noFill/>
        </a:ln>
      </xdr:spPr>
    </xdr:pic>
    <xdr:clientData/>
  </xdr:twoCellAnchor>
  <xdr:oneCellAnchor>
    <xdr:from>
      <xdr:col>8</xdr:col>
      <xdr:colOff>675502</xdr:colOff>
      <xdr:row>41</xdr:row>
      <xdr:rowOff>36212</xdr:rowOff>
    </xdr:from>
    <xdr:ext cx="914400" cy="436786"/>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5635367" y="26028307"/>
          <a:ext cx="9144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endParaRPr lang="en-US" sz="1100"/>
        </a:p>
        <a:p>
          <a:endParaRPr lang="en-US" sz="1100"/>
        </a:p>
      </xdr:txBody>
    </xdr:sp>
    <xdr:clientData/>
  </xdr:oneCellAnchor>
  <xdr:twoCellAnchor editAs="oneCell">
    <xdr:from>
      <xdr:col>2</xdr:col>
      <xdr:colOff>343243</xdr:colOff>
      <xdr:row>0</xdr:row>
      <xdr:rowOff>111553</xdr:rowOff>
    </xdr:from>
    <xdr:to>
      <xdr:col>3</xdr:col>
      <xdr:colOff>961081</xdr:colOff>
      <xdr:row>0</xdr:row>
      <xdr:rowOff>402023</xdr:rowOff>
    </xdr:to>
    <xdr:pic>
      <xdr:nvPicPr>
        <xdr:cNvPr id="3" name="Picture 2" descr="Sita Air Text">
          <a:extLst>
            <a:ext uri="{FF2B5EF4-FFF2-40B4-BE49-F238E27FC236}">
              <a16:creationId xmlns:a16="http://schemas.microsoft.com/office/drawing/2014/main" id="{3A09E0BB-C01A-474D-A0C4-DDCC82FEB9BB}"/>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58108" y="111553"/>
          <a:ext cx="1450203" cy="29047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752477</xdr:colOff>
      <xdr:row>0</xdr:row>
      <xdr:rowOff>371475</xdr:rowOff>
    </xdr:from>
    <xdr:to>
      <xdr:col>3</xdr:col>
      <xdr:colOff>1266826</xdr:colOff>
      <xdr:row>0</xdr:row>
      <xdr:rowOff>704850</xdr:rowOff>
    </xdr:to>
    <xdr:pic>
      <xdr:nvPicPr>
        <xdr:cNvPr id="3" name="Picture 2" descr="Sita Air Text">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2" y="371475"/>
          <a:ext cx="1571624" cy="333375"/>
        </a:xfrm>
        <a:prstGeom prst="rect">
          <a:avLst/>
        </a:prstGeom>
        <a:noFill/>
        <a:ln>
          <a:noFill/>
        </a:ln>
      </xdr:spPr>
    </xdr:pic>
    <xdr:clientData/>
  </xdr:twoCellAnchor>
  <xdr:twoCellAnchor editAs="oneCell">
    <xdr:from>
      <xdr:col>1</xdr:col>
      <xdr:colOff>333375</xdr:colOff>
      <xdr:row>0</xdr:row>
      <xdr:rowOff>123825</xdr:rowOff>
    </xdr:from>
    <xdr:to>
      <xdr:col>2</xdr:col>
      <xdr:colOff>333589</xdr:colOff>
      <xdr:row>0</xdr:row>
      <xdr:rowOff>876300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5775" y="123825"/>
          <a:ext cx="790575" cy="7524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AppData/Roaming/Microsoft/Downloads/Occurrence-Hazard-risk-Registry-sheet-2023-new-working.xlsx"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71"/>
  <sheetViews>
    <sheetView tabSelected="1" topLeftCell="D1" zoomScale="90" zoomScaleNormal="90" workbookViewId="0">
      <selection activeCell="N229" sqref="N229"/>
    </sheetView>
  </sheetViews>
  <sheetFormatPr defaultRowHeight="15" x14ac:dyDescent="0.25"/>
  <cols>
    <col min="1" max="1" width="3.85546875" style="9" customWidth="1"/>
    <col min="2" max="2" width="5.42578125" style="9" customWidth="1"/>
    <col min="3" max="4" width="12.42578125" style="9" customWidth="1"/>
    <col min="5" max="5" width="18.5703125" style="9" customWidth="1"/>
    <col min="6" max="6" width="55.140625" style="9" customWidth="1"/>
    <col min="7" max="7" width="12.28515625" style="9" customWidth="1"/>
    <col min="8" max="8" width="9.28515625" style="9" customWidth="1"/>
    <col min="9" max="9" width="11.85546875" style="9" customWidth="1"/>
    <col min="10" max="10" width="11.140625" style="9" customWidth="1"/>
    <col min="11" max="11" width="12.140625" style="68" customWidth="1"/>
    <col min="12" max="12" width="25.42578125" style="9" customWidth="1"/>
    <col min="13" max="13" width="13.7109375" style="9" customWidth="1"/>
    <col min="14" max="14" width="22.85546875" style="9" customWidth="1"/>
    <col min="15" max="16384" width="9.140625" style="9"/>
  </cols>
  <sheetData>
    <row r="1" spans="2:14" ht="70.5" customHeight="1" thickBot="1" x14ac:dyDescent="0.3">
      <c r="B1" s="192"/>
      <c r="C1" s="193"/>
      <c r="D1" s="193"/>
      <c r="E1" s="194"/>
      <c r="F1" s="195" t="s">
        <v>78</v>
      </c>
      <c r="G1" s="196"/>
      <c r="H1" s="196"/>
      <c r="I1" s="196"/>
      <c r="J1" s="197"/>
      <c r="K1" s="189" t="s">
        <v>0</v>
      </c>
      <c r="L1" s="190"/>
      <c r="M1" s="191"/>
      <c r="N1" s="78"/>
    </row>
    <row r="2" spans="2:14" ht="26.25" customHeight="1" thickBot="1" x14ac:dyDescent="0.3">
      <c r="B2" s="198" t="s">
        <v>1</v>
      </c>
      <c r="C2" s="188" t="s">
        <v>2</v>
      </c>
      <c r="D2" s="188" t="s">
        <v>3</v>
      </c>
      <c r="E2" s="188" t="s">
        <v>4</v>
      </c>
      <c r="F2" s="198" t="s">
        <v>5</v>
      </c>
      <c r="G2" s="201" t="s">
        <v>6</v>
      </c>
      <c r="H2" s="202"/>
      <c r="I2" s="202"/>
      <c r="J2" s="203"/>
      <c r="K2" s="200" t="s">
        <v>7</v>
      </c>
      <c r="L2" s="186" t="s">
        <v>8</v>
      </c>
      <c r="M2" s="186" t="s">
        <v>9</v>
      </c>
      <c r="N2" s="186" t="s">
        <v>10</v>
      </c>
    </row>
    <row r="3" spans="2:14" ht="36" customHeight="1" thickBot="1" x14ac:dyDescent="0.3">
      <c r="B3" s="199"/>
      <c r="C3" s="187"/>
      <c r="D3" s="187"/>
      <c r="E3" s="187"/>
      <c r="F3" s="199"/>
      <c r="G3" s="15" t="s">
        <v>11</v>
      </c>
      <c r="H3" s="63" t="s">
        <v>12</v>
      </c>
      <c r="I3" s="63" t="s">
        <v>13</v>
      </c>
      <c r="J3" s="16" t="s">
        <v>14</v>
      </c>
      <c r="K3" s="199"/>
      <c r="L3" s="187"/>
      <c r="M3" s="187"/>
      <c r="N3" s="187"/>
    </row>
    <row r="4" spans="2:14" ht="30" x14ac:dyDescent="0.25">
      <c r="B4" s="64">
        <v>1</v>
      </c>
      <c r="C4" s="111">
        <v>45667</v>
      </c>
      <c r="D4" s="111">
        <v>45662</v>
      </c>
      <c r="E4" s="14" t="s">
        <v>128</v>
      </c>
      <c r="F4" s="82" t="s">
        <v>121</v>
      </c>
      <c r="G4" s="65"/>
      <c r="H4" s="65"/>
      <c r="I4" s="17" t="s">
        <v>84</v>
      </c>
      <c r="J4" s="66"/>
      <c r="K4" s="114" t="s">
        <v>111</v>
      </c>
      <c r="L4" s="29" t="s">
        <v>129</v>
      </c>
      <c r="M4" s="14"/>
      <c r="N4" s="14" t="str">
        <f t="shared" ref="N4:N10" ca="1" si="0">DATEDIF(C4, TODAY(), "m") &amp; " months, " &amp; DATEDIF(C4, TODAY(), "md") &amp; " days"</f>
        <v>16 months, 7 days</v>
      </c>
    </row>
    <row r="5" spans="2:14" ht="30" x14ac:dyDescent="0.25">
      <c r="B5" s="64">
        <v>2</v>
      </c>
      <c r="C5" s="111">
        <v>45667</v>
      </c>
      <c r="D5" s="111">
        <v>45662</v>
      </c>
      <c r="E5" s="14" t="s">
        <v>128</v>
      </c>
      <c r="F5" s="82" t="s">
        <v>122</v>
      </c>
      <c r="G5" s="65"/>
      <c r="H5" s="65"/>
      <c r="I5" s="17" t="s">
        <v>84</v>
      </c>
      <c r="J5" s="66"/>
      <c r="K5" s="114" t="s">
        <v>111</v>
      </c>
      <c r="L5" s="29" t="s">
        <v>129</v>
      </c>
      <c r="M5" s="14"/>
      <c r="N5" s="14" t="str">
        <f t="shared" ca="1" si="0"/>
        <v>16 months, 7 days</v>
      </c>
    </row>
    <row r="6" spans="2:14" ht="30" x14ac:dyDescent="0.25">
      <c r="B6" s="64">
        <v>3</v>
      </c>
      <c r="C6" s="111">
        <v>45667</v>
      </c>
      <c r="D6" s="111">
        <v>45662</v>
      </c>
      <c r="E6" s="14" t="s">
        <v>128</v>
      </c>
      <c r="F6" s="82" t="s">
        <v>123</v>
      </c>
      <c r="G6" s="65"/>
      <c r="H6" s="65"/>
      <c r="I6" s="17" t="s">
        <v>84</v>
      </c>
      <c r="J6" s="66"/>
      <c r="K6" s="114" t="s">
        <v>111</v>
      </c>
      <c r="L6" s="29" t="s">
        <v>129</v>
      </c>
      <c r="M6" s="14"/>
      <c r="N6" s="14" t="str">
        <f t="shared" ca="1" si="0"/>
        <v>16 months, 7 days</v>
      </c>
    </row>
    <row r="7" spans="2:14" ht="30" x14ac:dyDescent="0.25">
      <c r="B7" s="64">
        <v>4</v>
      </c>
      <c r="C7" s="111">
        <v>45667</v>
      </c>
      <c r="D7" s="111">
        <v>45662</v>
      </c>
      <c r="E7" s="14" t="s">
        <v>128</v>
      </c>
      <c r="F7" s="82" t="s">
        <v>124</v>
      </c>
      <c r="G7" s="65"/>
      <c r="H7" s="65"/>
      <c r="I7" s="17" t="s">
        <v>84</v>
      </c>
      <c r="J7" s="66"/>
      <c r="K7" s="114" t="s">
        <v>111</v>
      </c>
      <c r="L7" s="29" t="s">
        <v>129</v>
      </c>
      <c r="M7" s="14"/>
      <c r="N7" s="14" t="str">
        <f t="shared" ca="1" si="0"/>
        <v>16 months, 7 days</v>
      </c>
    </row>
    <row r="8" spans="2:14" ht="30" x14ac:dyDescent="0.25">
      <c r="B8" s="64">
        <v>5</v>
      </c>
      <c r="C8" s="111">
        <v>45667</v>
      </c>
      <c r="D8" s="111">
        <v>45662</v>
      </c>
      <c r="E8" s="14" t="s">
        <v>128</v>
      </c>
      <c r="F8" s="82" t="s">
        <v>125</v>
      </c>
      <c r="G8" s="65"/>
      <c r="H8" s="65"/>
      <c r="I8" s="17" t="s">
        <v>84</v>
      </c>
      <c r="J8" s="66"/>
      <c r="K8" s="114" t="s">
        <v>111</v>
      </c>
      <c r="L8" s="29" t="s">
        <v>129</v>
      </c>
      <c r="M8" s="14"/>
      <c r="N8" s="14" t="str">
        <f t="shared" ca="1" si="0"/>
        <v>16 months, 7 days</v>
      </c>
    </row>
    <row r="9" spans="2:14" ht="30" x14ac:dyDescent="0.25">
      <c r="B9" s="64">
        <v>6</v>
      </c>
      <c r="C9" s="111">
        <v>45667</v>
      </c>
      <c r="D9" s="111">
        <v>45662</v>
      </c>
      <c r="E9" s="14" t="s">
        <v>128</v>
      </c>
      <c r="F9" s="82" t="s">
        <v>126</v>
      </c>
      <c r="G9" s="65"/>
      <c r="H9" s="65"/>
      <c r="I9" s="17" t="s">
        <v>84</v>
      </c>
      <c r="J9" s="66"/>
      <c r="K9" s="114" t="s">
        <v>111</v>
      </c>
      <c r="L9" s="29" t="s">
        <v>129</v>
      </c>
      <c r="M9" s="14"/>
      <c r="N9" s="14" t="str">
        <f t="shared" ca="1" si="0"/>
        <v>16 months, 7 days</v>
      </c>
    </row>
    <row r="10" spans="2:14" ht="30" x14ac:dyDescent="0.25">
      <c r="B10" s="64">
        <v>7</v>
      </c>
      <c r="C10" s="111">
        <v>45667</v>
      </c>
      <c r="D10" s="111">
        <v>45662</v>
      </c>
      <c r="E10" s="14" t="s">
        <v>128</v>
      </c>
      <c r="F10" s="82" t="s">
        <v>127</v>
      </c>
      <c r="G10" s="65"/>
      <c r="H10" s="65"/>
      <c r="I10" s="17" t="s">
        <v>84</v>
      </c>
      <c r="J10" s="66"/>
      <c r="K10" s="114" t="s">
        <v>111</v>
      </c>
      <c r="L10" s="29" t="s">
        <v>129</v>
      </c>
      <c r="M10" s="14"/>
      <c r="N10" s="14" t="str">
        <f t="shared" ca="1" si="0"/>
        <v>16 months, 7 days</v>
      </c>
    </row>
    <row r="11" spans="2:14" ht="30" x14ac:dyDescent="0.25">
      <c r="B11" s="64">
        <v>8</v>
      </c>
      <c r="C11" s="111">
        <v>45678</v>
      </c>
      <c r="D11" s="111" t="s">
        <v>82</v>
      </c>
      <c r="E11" s="14" t="s">
        <v>83</v>
      </c>
      <c r="F11" s="82" t="s">
        <v>92</v>
      </c>
      <c r="G11" s="65"/>
      <c r="H11" s="65"/>
      <c r="I11" s="17" t="s">
        <v>84</v>
      </c>
      <c r="J11" s="66"/>
      <c r="K11" s="114" t="s">
        <v>111</v>
      </c>
      <c r="L11" s="29" t="s">
        <v>90</v>
      </c>
      <c r="M11" s="14"/>
      <c r="N11" s="14" t="str">
        <f t="shared" ref="N11:N144" ca="1" si="1">DATEDIF(C11, TODAY(), "m") &amp; " months, " &amp; DATEDIF(C11, TODAY(), "md") &amp; " days"</f>
        <v>15 months, 26 days</v>
      </c>
    </row>
    <row r="12" spans="2:14" ht="75" customHeight="1" x14ac:dyDescent="0.25">
      <c r="B12" s="64">
        <v>9</v>
      </c>
      <c r="C12" s="111">
        <v>45681</v>
      </c>
      <c r="D12" s="111" t="s">
        <v>94</v>
      </c>
      <c r="E12" s="14" t="s">
        <v>83</v>
      </c>
      <c r="F12" s="82" t="s">
        <v>93</v>
      </c>
      <c r="G12" s="65"/>
      <c r="H12" s="65"/>
      <c r="I12" s="17" t="s">
        <v>84</v>
      </c>
      <c r="J12" s="66"/>
      <c r="K12" s="108" t="s">
        <v>91</v>
      </c>
      <c r="L12" s="107" t="s">
        <v>96</v>
      </c>
      <c r="M12" s="14"/>
      <c r="N12" s="14" t="str">
        <f t="shared" ca="1" si="1"/>
        <v>15 months, 23 days</v>
      </c>
    </row>
    <row r="13" spans="2:14" ht="75" customHeight="1" x14ac:dyDescent="0.25">
      <c r="B13" s="64">
        <v>10</v>
      </c>
      <c r="C13" s="104">
        <v>45679</v>
      </c>
      <c r="D13" s="111">
        <v>45679</v>
      </c>
      <c r="E13" s="14" t="s">
        <v>306</v>
      </c>
      <c r="F13" s="14" t="s">
        <v>130</v>
      </c>
      <c r="G13" s="65"/>
      <c r="H13" s="17" t="s">
        <v>84</v>
      </c>
      <c r="I13" s="17"/>
      <c r="J13" s="66"/>
      <c r="K13" s="114" t="s">
        <v>111</v>
      </c>
      <c r="L13" s="29" t="s">
        <v>202</v>
      </c>
      <c r="M13" s="14" t="s">
        <v>112</v>
      </c>
      <c r="N13" s="14" t="str">
        <f t="shared" ca="1" si="1"/>
        <v>15 months, 25 days</v>
      </c>
    </row>
    <row r="14" spans="2:14" ht="105" x14ac:dyDescent="0.25">
      <c r="B14" s="64">
        <v>11</v>
      </c>
      <c r="C14" s="111">
        <v>45690</v>
      </c>
      <c r="D14" s="111">
        <v>45690</v>
      </c>
      <c r="E14" s="14" t="s">
        <v>83</v>
      </c>
      <c r="F14" s="82" t="s">
        <v>97</v>
      </c>
      <c r="G14" s="65"/>
      <c r="H14" s="135"/>
      <c r="I14" s="17" t="s">
        <v>84</v>
      </c>
      <c r="J14" s="66"/>
      <c r="K14" s="114" t="s">
        <v>111</v>
      </c>
      <c r="L14" s="69" t="s">
        <v>98</v>
      </c>
      <c r="M14" s="14" t="s">
        <v>571</v>
      </c>
      <c r="N14" s="14" t="str">
        <f t="shared" ca="1" si="1"/>
        <v>15 months, 15 days</v>
      </c>
    </row>
    <row r="15" spans="2:14" ht="96.75" customHeight="1" x14ac:dyDescent="0.25">
      <c r="B15" s="64">
        <v>12</v>
      </c>
      <c r="C15" s="111">
        <v>45691</v>
      </c>
      <c r="D15" s="111">
        <v>45691</v>
      </c>
      <c r="E15" s="14" t="s">
        <v>83</v>
      </c>
      <c r="F15" s="82" t="s">
        <v>139</v>
      </c>
      <c r="G15" s="65"/>
      <c r="H15" s="65"/>
      <c r="I15" s="17" t="s">
        <v>84</v>
      </c>
      <c r="J15" s="66"/>
      <c r="K15" s="114" t="s">
        <v>111</v>
      </c>
      <c r="L15" s="69" t="s">
        <v>101</v>
      </c>
      <c r="M15" s="14"/>
      <c r="N15" s="14" t="str">
        <f t="shared" ca="1" si="1"/>
        <v>15 months, 14 days</v>
      </c>
    </row>
    <row r="16" spans="2:14" ht="150" x14ac:dyDescent="0.25">
      <c r="B16" s="64">
        <v>13</v>
      </c>
      <c r="C16" s="111">
        <v>45702</v>
      </c>
      <c r="D16" s="111"/>
      <c r="E16" s="14" t="s">
        <v>83</v>
      </c>
      <c r="F16" s="82" t="s">
        <v>140</v>
      </c>
      <c r="G16" s="65"/>
      <c r="H16" s="65"/>
      <c r="I16" s="17" t="s">
        <v>84</v>
      </c>
      <c r="J16" s="66"/>
      <c r="K16" s="114" t="s">
        <v>111</v>
      </c>
      <c r="L16" s="69" t="s">
        <v>141</v>
      </c>
      <c r="M16" s="14" t="s">
        <v>143</v>
      </c>
      <c r="N16" s="14" t="str">
        <f t="shared" ca="1" si="1"/>
        <v>15 months, 3 days</v>
      </c>
    </row>
    <row r="17" spans="2:14" ht="54" customHeight="1" x14ac:dyDescent="0.25">
      <c r="B17" s="64">
        <v>14</v>
      </c>
      <c r="C17" s="111">
        <v>45706</v>
      </c>
      <c r="D17" s="111"/>
      <c r="E17" s="14" t="s">
        <v>524</v>
      </c>
      <c r="F17" s="150" t="s">
        <v>525</v>
      </c>
      <c r="G17" s="65"/>
      <c r="H17" s="65"/>
      <c r="I17" s="135"/>
      <c r="J17" s="66"/>
      <c r="K17" s="114" t="s">
        <v>111</v>
      </c>
      <c r="L17" s="69" t="s">
        <v>562</v>
      </c>
      <c r="M17" s="14"/>
      <c r="N17" s="14" t="str">
        <f t="shared" ca="1" si="1"/>
        <v>14 months, 29 days</v>
      </c>
    </row>
    <row r="18" spans="2:14" ht="44.25" customHeight="1" x14ac:dyDescent="0.25">
      <c r="B18" s="64">
        <v>15</v>
      </c>
      <c r="C18" s="111">
        <v>45706</v>
      </c>
      <c r="D18" s="111"/>
      <c r="E18" s="14" t="s">
        <v>524</v>
      </c>
      <c r="F18" s="25" t="s">
        <v>561</v>
      </c>
      <c r="G18" s="65"/>
      <c r="H18" s="65"/>
      <c r="I18" s="135"/>
      <c r="J18" s="66"/>
      <c r="K18" s="114" t="s">
        <v>111</v>
      </c>
      <c r="L18" s="69" t="s">
        <v>179</v>
      </c>
      <c r="M18" s="14"/>
      <c r="N18" s="14"/>
    </row>
    <row r="19" spans="2:14" ht="31.5" x14ac:dyDescent="0.25">
      <c r="B19" s="64">
        <v>16</v>
      </c>
      <c r="C19" s="111">
        <v>45706</v>
      </c>
      <c r="D19" s="111"/>
      <c r="E19" s="14" t="s">
        <v>524</v>
      </c>
      <c r="F19" s="25" t="s">
        <v>535</v>
      </c>
      <c r="G19" s="65"/>
      <c r="H19" s="65"/>
      <c r="I19" s="135"/>
      <c r="J19" s="66"/>
      <c r="K19" s="114" t="s">
        <v>111</v>
      </c>
      <c r="L19" s="26" t="s">
        <v>179</v>
      </c>
      <c r="M19" s="14"/>
      <c r="N19" s="14"/>
    </row>
    <row r="20" spans="2:14" ht="31.5" x14ac:dyDescent="0.25">
      <c r="B20" s="64">
        <v>17</v>
      </c>
      <c r="C20" s="111">
        <v>45706</v>
      </c>
      <c r="D20" s="111"/>
      <c r="E20" s="14" t="s">
        <v>523</v>
      </c>
      <c r="F20" s="155" t="s">
        <v>538</v>
      </c>
      <c r="G20" s="65"/>
      <c r="H20" s="17" t="s">
        <v>84</v>
      </c>
      <c r="I20" s="135"/>
      <c r="J20" s="66"/>
      <c r="K20" s="114" t="s">
        <v>111</v>
      </c>
      <c r="L20" s="26" t="s">
        <v>541</v>
      </c>
      <c r="M20" s="14"/>
      <c r="N20" s="14" t="str">
        <f t="shared" ca="1" si="1"/>
        <v>14 months, 29 days</v>
      </c>
    </row>
    <row r="21" spans="2:14" ht="60" x14ac:dyDescent="0.25">
      <c r="B21" s="64">
        <v>18</v>
      </c>
      <c r="C21" s="118">
        <v>45710</v>
      </c>
      <c r="D21" s="118"/>
      <c r="E21" s="119" t="s">
        <v>83</v>
      </c>
      <c r="F21" s="120" t="s">
        <v>144</v>
      </c>
      <c r="G21" s="121"/>
      <c r="H21" s="121"/>
      <c r="I21" s="121"/>
      <c r="J21" s="122"/>
      <c r="K21" s="123" t="s">
        <v>117</v>
      </c>
      <c r="L21" s="124" t="s">
        <v>172</v>
      </c>
      <c r="M21" s="119" t="s">
        <v>145</v>
      </c>
      <c r="N21" s="119"/>
    </row>
    <row r="22" spans="2:14" ht="60" x14ac:dyDescent="0.25">
      <c r="B22" s="64">
        <v>19</v>
      </c>
      <c r="C22" s="111">
        <v>45716</v>
      </c>
      <c r="D22" s="111">
        <v>45709</v>
      </c>
      <c r="E22" s="14" t="s">
        <v>83</v>
      </c>
      <c r="F22" s="82" t="s">
        <v>159</v>
      </c>
      <c r="G22" s="65"/>
      <c r="H22" s="17"/>
      <c r="I22" s="17" t="s">
        <v>84</v>
      </c>
      <c r="J22" s="66"/>
      <c r="K22" s="114" t="s">
        <v>111</v>
      </c>
      <c r="L22" s="69" t="s">
        <v>129</v>
      </c>
      <c r="M22" s="14"/>
      <c r="N22" s="14" t="str">
        <f t="shared" ca="1" si="1"/>
        <v>14 months, 19 days</v>
      </c>
    </row>
    <row r="23" spans="2:14" ht="45" x14ac:dyDescent="0.25">
      <c r="B23" s="64">
        <v>20</v>
      </c>
      <c r="C23" s="111">
        <v>45716</v>
      </c>
      <c r="D23" s="111"/>
      <c r="E23" s="14" t="s">
        <v>306</v>
      </c>
      <c r="F23" s="14" t="s">
        <v>150</v>
      </c>
      <c r="G23" s="65"/>
      <c r="H23" s="17" t="s">
        <v>84</v>
      </c>
      <c r="I23" s="17"/>
      <c r="J23" s="66"/>
      <c r="K23" s="114" t="s">
        <v>111</v>
      </c>
      <c r="L23" s="29" t="s">
        <v>202</v>
      </c>
      <c r="M23" s="14" t="s">
        <v>146</v>
      </c>
      <c r="N23" s="14" t="str">
        <f t="shared" ca="1" si="1"/>
        <v>14 months, 19 days</v>
      </c>
    </row>
    <row r="24" spans="2:14" ht="45" x14ac:dyDescent="0.25">
      <c r="B24" s="64">
        <v>21</v>
      </c>
      <c r="C24" s="111">
        <v>45716</v>
      </c>
      <c r="D24" s="111">
        <v>45713</v>
      </c>
      <c r="E24" s="14" t="s">
        <v>151</v>
      </c>
      <c r="F24" s="82" t="s">
        <v>156</v>
      </c>
      <c r="G24" s="65"/>
      <c r="H24" s="65"/>
      <c r="I24" s="17" t="s">
        <v>84</v>
      </c>
      <c r="J24" s="66"/>
      <c r="K24" s="114" t="s">
        <v>111</v>
      </c>
      <c r="L24" s="69" t="s">
        <v>129</v>
      </c>
      <c r="M24" s="14"/>
      <c r="N24" s="14" t="str">
        <f t="shared" ca="1" si="1"/>
        <v>14 months, 19 days</v>
      </c>
    </row>
    <row r="25" spans="2:14" ht="30" x14ac:dyDescent="0.25">
      <c r="B25" s="64">
        <v>22</v>
      </c>
      <c r="C25" s="111">
        <v>45722</v>
      </c>
      <c r="D25" s="111">
        <v>45722</v>
      </c>
      <c r="E25" s="19" t="s">
        <v>163</v>
      </c>
      <c r="F25" s="82" t="s">
        <v>164</v>
      </c>
      <c r="G25" s="65"/>
      <c r="H25" s="109"/>
      <c r="I25" s="65"/>
      <c r="J25" s="17" t="s">
        <v>84</v>
      </c>
      <c r="K25" s="114" t="s">
        <v>117</v>
      </c>
      <c r="L25" s="29" t="s">
        <v>107</v>
      </c>
      <c r="M25" s="14"/>
      <c r="N25" s="14" t="str">
        <f t="shared" ca="1" si="1"/>
        <v>14 months, 11 days</v>
      </c>
    </row>
    <row r="26" spans="2:14" ht="45" x14ac:dyDescent="0.25">
      <c r="B26" s="64">
        <v>23</v>
      </c>
      <c r="C26" s="111">
        <v>45725</v>
      </c>
      <c r="D26" s="111"/>
      <c r="E26" s="14" t="s">
        <v>83</v>
      </c>
      <c r="F26" s="82" t="s">
        <v>173</v>
      </c>
      <c r="G26" s="65"/>
      <c r="H26" s="65"/>
      <c r="I26" s="17" t="s">
        <v>84</v>
      </c>
      <c r="J26" s="66"/>
      <c r="K26" s="114" t="s">
        <v>111</v>
      </c>
      <c r="L26" s="69" t="s">
        <v>174</v>
      </c>
      <c r="M26" s="14"/>
      <c r="N26" s="14" t="str">
        <f t="shared" ca="1" si="1"/>
        <v>14 months, 8 days</v>
      </c>
    </row>
    <row r="27" spans="2:14" ht="60" x14ac:dyDescent="0.25">
      <c r="B27" s="64">
        <v>24</v>
      </c>
      <c r="C27" s="111">
        <v>45727</v>
      </c>
      <c r="D27" s="111"/>
      <c r="E27" s="14" t="s">
        <v>83</v>
      </c>
      <c r="F27" s="82" t="s">
        <v>177</v>
      </c>
      <c r="G27" s="65"/>
      <c r="H27" s="65"/>
      <c r="I27" s="17" t="s">
        <v>84</v>
      </c>
      <c r="J27" s="66"/>
      <c r="K27" s="114" t="s">
        <v>111</v>
      </c>
      <c r="L27" s="29" t="s">
        <v>90</v>
      </c>
      <c r="M27" s="14" t="s">
        <v>815</v>
      </c>
      <c r="N27" s="14" t="str">
        <f t="shared" ca="1" si="1"/>
        <v>14 months, 6 days</v>
      </c>
    </row>
    <row r="28" spans="2:14" ht="60" x14ac:dyDescent="0.25">
      <c r="B28" s="64">
        <v>25</v>
      </c>
      <c r="C28" s="111">
        <v>45728</v>
      </c>
      <c r="D28" s="111"/>
      <c r="E28" s="19" t="s">
        <v>163</v>
      </c>
      <c r="F28" s="82" t="s">
        <v>180</v>
      </c>
      <c r="G28" s="65"/>
      <c r="H28" s="65"/>
      <c r="I28" s="65"/>
      <c r="J28" s="17" t="s">
        <v>84</v>
      </c>
      <c r="K28" s="114" t="s">
        <v>117</v>
      </c>
      <c r="L28" s="29" t="s">
        <v>107</v>
      </c>
      <c r="M28" s="14"/>
      <c r="N28" s="14" t="str">
        <f t="shared" ca="1" si="1"/>
        <v>14 months, 5 days</v>
      </c>
    </row>
    <row r="29" spans="2:14" ht="30" x14ac:dyDescent="0.25">
      <c r="B29" s="64">
        <v>26</v>
      </c>
      <c r="C29" s="111">
        <v>45728</v>
      </c>
      <c r="D29" s="111"/>
      <c r="E29" s="19" t="s">
        <v>163</v>
      </c>
      <c r="F29" s="82" t="s">
        <v>184</v>
      </c>
      <c r="G29" s="65"/>
      <c r="H29" s="65"/>
      <c r="I29" s="65"/>
      <c r="J29" s="17" t="s">
        <v>84</v>
      </c>
      <c r="K29" s="114" t="s">
        <v>117</v>
      </c>
      <c r="L29" s="29" t="s">
        <v>107</v>
      </c>
      <c r="M29" s="14"/>
      <c r="N29" s="14" t="str">
        <f t="shared" ca="1" si="1"/>
        <v>14 months, 5 days</v>
      </c>
    </row>
    <row r="30" spans="2:14" ht="60" x14ac:dyDescent="0.25">
      <c r="B30" s="64">
        <v>27</v>
      </c>
      <c r="C30" s="111">
        <v>45736</v>
      </c>
      <c r="D30" s="111"/>
      <c r="E30" s="14" t="s">
        <v>83</v>
      </c>
      <c r="F30" s="82" t="s">
        <v>188</v>
      </c>
      <c r="G30" s="65"/>
      <c r="H30" s="65"/>
      <c r="I30" s="17" t="s">
        <v>84</v>
      </c>
      <c r="J30" s="66"/>
      <c r="K30" s="145" t="s">
        <v>110</v>
      </c>
      <c r="L30" s="29" t="s">
        <v>190</v>
      </c>
      <c r="M30" s="14" t="s">
        <v>573</v>
      </c>
      <c r="N30" s="14" t="str">
        <f t="shared" ca="1" si="1"/>
        <v>13 months, 27 days</v>
      </c>
    </row>
    <row r="31" spans="2:14" ht="270" x14ac:dyDescent="0.25">
      <c r="B31" s="64">
        <v>28</v>
      </c>
      <c r="C31" s="111">
        <v>45740</v>
      </c>
      <c r="D31" s="111"/>
      <c r="E31" s="14" t="s">
        <v>83</v>
      </c>
      <c r="F31" s="82" t="s">
        <v>194</v>
      </c>
      <c r="G31" s="17" t="s">
        <v>84</v>
      </c>
      <c r="H31" s="65"/>
      <c r="I31" s="65"/>
      <c r="J31" s="66"/>
      <c r="K31" s="114" t="s">
        <v>111</v>
      </c>
      <c r="L31" s="126" t="s">
        <v>96</v>
      </c>
      <c r="M31" s="14"/>
      <c r="N31" s="14" t="str">
        <f t="shared" ca="1" si="1"/>
        <v>13 months, 23 days</v>
      </c>
    </row>
    <row r="32" spans="2:14" ht="75" x14ac:dyDescent="0.25">
      <c r="B32" s="64">
        <v>29</v>
      </c>
      <c r="C32" s="111">
        <v>45746</v>
      </c>
      <c r="D32" s="111"/>
      <c r="E32" s="14" t="s">
        <v>83</v>
      </c>
      <c r="F32" s="82" t="s">
        <v>197</v>
      </c>
      <c r="G32" s="65"/>
      <c r="H32" s="65"/>
      <c r="I32" s="17" t="s">
        <v>84</v>
      </c>
      <c r="J32" s="66"/>
      <c r="K32" s="114" t="s">
        <v>111</v>
      </c>
      <c r="L32" s="39" t="s">
        <v>90</v>
      </c>
      <c r="M32" s="106" t="s">
        <v>811</v>
      </c>
      <c r="N32" s="14" t="str">
        <f t="shared" ca="1" si="1"/>
        <v>13 months, 17 days</v>
      </c>
    </row>
    <row r="33" spans="2:14" ht="75" x14ac:dyDescent="0.25">
      <c r="B33" s="64">
        <v>30</v>
      </c>
      <c r="C33" s="111">
        <v>45746</v>
      </c>
      <c r="D33" s="111"/>
      <c r="E33" s="14" t="s">
        <v>83</v>
      </c>
      <c r="F33" s="82" t="s">
        <v>201</v>
      </c>
      <c r="G33" s="65"/>
      <c r="H33" s="65"/>
      <c r="I33" s="17" t="s">
        <v>84</v>
      </c>
      <c r="J33" s="66"/>
      <c r="K33" s="114" t="s">
        <v>111</v>
      </c>
      <c r="L33" s="69" t="s">
        <v>202</v>
      </c>
      <c r="M33" s="14"/>
      <c r="N33" s="14" t="str">
        <f t="shared" ca="1" si="1"/>
        <v>13 months, 17 days</v>
      </c>
    </row>
    <row r="34" spans="2:14" ht="30" x14ac:dyDescent="0.25">
      <c r="B34" s="64">
        <v>31</v>
      </c>
      <c r="C34" s="111">
        <v>45750</v>
      </c>
      <c r="D34" s="111"/>
      <c r="E34" s="14" t="s">
        <v>83</v>
      </c>
      <c r="F34" s="82" t="s">
        <v>204</v>
      </c>
      <c r="G34" s="65"/>
      <c r="H34" s="65"/>
      <c r="I34" s="17" t="s">
        <v>84</v>
      </c>
      <c r="J34" s="66"/>
      <c r="K34" s="114" t="s">
        <v>111</v>
      </c>
      <c r="L34" s="69" t="s">
        <v>207</v>
      </c>
      <c r="M34" s="14"/>
      <c r="N34" s="14"/>
    </row>
    <row r="35" spans="2:14" ht="30" x14ac:dyDescent="0.25">
      <c r="B35" s="64">
        <v>32</v>
      </c>
      <c r="C35" s="111">
        <v>45752</v>
      </c>
      <c r="D35" s="111"/>
      <c r="E35" s="14" t="s">
        <v>83</v>
      </c>
      <c r="F35" s="82" t="s">
        <v>209</v>
      </c>
      <c r="G35" s="65"/>
      <c r="H35" s="65"/>
      <c r="I35" s="17" t="s">
        <v>84</v>
      </c>
      <c r="J35" s="66"/>
      <c r="K35" s="105" t="s">
        <v>91</v>
      </c>
      <c r="L35" s="69" t="s">
        <v>207</v>
      </c>
      <c r="M35" s="14"/>
      <c r="N35" s="14" t="str">
        <f t="shared" ca="1" si="1"/>
        <v>13 months, 12 days</v>
      </c>
    </row>
    <row r="36" spans="2:14" ht="75" x14ac:dyDescent="0.25">
      <c r="B36" s="64">
        <v>33</v>
      </c>
      <c r="C36" s="111">
        <v>45754</v>
      </c>
      <c r="D36" s="111"/>
      <c r="E36" s="14" t="s">
        <v>83</v>
      </c>
      <c r="F36" s="82" t="s">
        <v>210</v>
      </c>
      <c r="G36" s="65"/>
      <c r="H36" s="65"/>
      <c r="I36" s="17" t="s">
        <v>84</v>
      </c>
      <c r="J36" s="66"/>
      <c r="K36" s="105" t="s">
        <v>91</v>
      </c>
      <c r="L36" s="20" t="s">
        <v>215</v>
      </c>
      <c r="M36" s="14"/>
      <c r="N36" s="14" t="str">
        <f t="shared" ca="1" si="1"/>
        <v>13 months, 10 days</v>
      </c>
    </row>
    <row r="37" spans="2:14" ht="120" x14ac:dyDescent="0.25">
      <c r="B37" s="64">
        <v>34</v>
      </c>
      <c r="C37" s="111">
        <v>45754</v>
      </c>
      <c r="D37" s="111"/>
      <c r="E37" s="14" t="s">
        <v>83</v>
      </c>
      <c r="F37" s="82" t="s">
        <v>212</v>
      </c>
      <c r="G37" s="65"/>
      <c r="H37" s="65"/>
      <c r="I37" s="17" t="s">
        <v>84</v>
      </c>
      <c r="J37" s="66"/>
      <c r="K37" s="108" t="s">
        <v>91</v>
      </c>
      <c r="L37" s="107" t="s">
        <v>96</v>
      </c>
      <c r="M37" s="14"/>
      <c r="N37" s="14" t="str">
        <f t="shared" ca="1" si="1"/>
        <v>13 months, 10 days</v>
      </c>
    </row>
    <row r="38" spans="2:14" ht="30" x14ac:dyDescent="0.25">
      <c r="B38" s="64">
        <v>35</v>
      </c>
      <c r="C38" s="111">
        <v>45755</v>
      </c>
      <c r="D38" s="111"/>
      <c r="E38" s="14" t="s">
        <v>400</v>
      </c>
      <c r="F38" s="143" t="s">
        <v>401</v>
      </c>
      <c r="G38" s="65"/>
      <c r="H38" s="65"/>
      <c r="I38" s="17" t="s">
        <v>84</v>
      </c>
      <c r="J38" s="66"/>
      <c r="K38" s="145" t="s">
        <v>110</v>
      </c>
      <c r="L38" s="29" t="s">
        <v>129</v>
      </c>
      <c r="M38" s="14"/>
      <c r="N38" s="14" t="str">
        <f t="shared" ca="1" si="1"/>
        <v>13 months, 9 days</v>
      </c>
    </row>
    <row r="39" spans="2:14" ht="30" x14ac:dyDescent="0.25">
      <c r="B39" s="64">
        <v>36</v>
      </c>
      <c r="C39" s="111">
        <v>45755</v>
      </c>
      <c r="D39" s="111"/>
      <c r="E39" s="14" t="s">
        <v>400</v>
      </c>
      <c r="F39" s="143" t="s">
        <v>402</v>
      </c>
      <c r="G39" s="65"/>
      <c r="H39" s="65"/>
      <c r="I39" s="17" t="s">
        <v>84</v>
      </c>
      <c r="J39" s="66"/>
      <c r="K39" s="145" t="s">
        <v>110</v>
      </c>
      <c r="L39" s="29" t="s">
        <v>129</v>
      </c>
      <c r="M39" s="14"/>
      <c r="N39" s="14"/>
    </row>
    <row r="40" spans="2:14" ht="30" x14ac:dyDescent="0.25">
      <c r="B40" s="64">
        <v>37</v>
      </c>
      <c r="C40" s="111">
        <v>45755</v>
      </c>
      <c r="D40" s="111"/>
      <c r="E40" s="14" t="s">
        <v>400</v>
      </c>
      <c r="F40" s="144" t="s">
        <v>403</v>
      </c>
      <c r="G40" s="65"/>
      <c r="H40" s="65"/>
      <c r="I40" s="17" t="s">
        <v>84</v>
      </c>
      <c r="J40" s="66"/>
      <c r="K40" s="145" t="s">
        <v>110</v>
      </c>
      <c r="L40" s="29" t="s">
        <v>129</v>
      </c>
      <c r="M40" s="14"/>
      <c r="N40" s="14"/>
    </row>
    <row r="41" spans="2:14" ht="30" x14ac:dyDescent="0.25">
      <c r="B41" s="64">
        <v>38</v>
      </c>
      <c r="C41" s="111">
        <v>45755</v>
      </c>
      <c r="D41" s="111"/>
      <c r="E41" s="14" t="s">
        <v>400</v>
      </c>
      <c r="F41" s="143" t="s">
        <v>404</v>
      </c>
      <c r="G41" s="65"/>
      <c r="H41" s="65"/>
      <c r="I41" s="17" t="s">
        <v>84</v>
      </c>
      <c r="J41" s="66"/>
      <c r="K41" s="145" t="s">
        <v>110</v>
      </c>
      <c r="L41" s="29" t="s">
        <v>129</v>
      </c>
      <c r="M41" s="14"/>
      <c r="N41" s="14"/>
    </row>
    <row r="42" spans="2:14" ht="30" x14ac:dyDescent="0.25">
      <c r="B42" s="64">
        <v>39</v>
      </c>
      <c r="C42" s="111">
        <v>45755</v>
      </c>
      <c r="D42" s="111"/>
      <c r="E42" s="14" t="s">
        <v>400</v>
      </c>
      <c r="F42" s="143" t="s">
        <v>405</v>
      </c>
      <c r="G42" s="65"/>
      <c r="H42" s="65"/>
      <c r="I42" s="17" t="s">
        <v>84</v>
      </c>
      <c r="J42" s="66"/>
      <c r="K42" s="145" t="s">
        <v>110</v>
      </c>
      <c r="L42" s="29" t="s">
        <v>129</v>
      </c>
      <c r="M42" s="14"/>
      <c r="N42" s="14"/>
    </row>
    <row r="43" spans="2:14" ht="30" x14ac:dyDescent="0.25">
      <c r="B43" s="64">
        <v>40</v>
      </c>
      <c r="C43" s="111">
        <v>45755</v>
      </c>
      <c r="D43" s="111"/>
      <c r="E43" s="14" t="s">
        <v>400</v>
      </c>
      <c r="F43" s="144" t="s">
        <v>406</v>
      </c>
      <c r="G43" s="65"/>
      <c r="H43" s="65"/>
      <c r="I43" s="17" t="s">
        <v>84</v>
      </c>
      <c r="J43" s="66"/>
      <c r="K43" s="145" t="s">
        <v>110</v>
      </c>
      <c r="L43" s="29" t="s">
        <v>129</v>
      </c>
      <c r="M43" s="14"/>
      <c r="N43" s="14"/>
    </row>
    <row r="44" spans="2:14" ht="30" x14ac:dyDescent="0.25">
      <c r="B44" s="64">
        <v>41</v>
      </c>
      <c r="C44" s="111">
        <v>45755</v>
      </c>
      <c r="D44" s="111"/>
      <c r="E44" s="14" t="s">
        <v>400</v>
      </c>
      <c r="F44" s="144" t="s">
        <v>407</v>
      </c>
      <c r="G44" s="65"/>
      <c r="H44" s="65"/>
      <c r="I44" s="17" t="s">
        <v>84</v>
      </c>
      <c r="J44" s="66"/>
      <c r="K44" s="145" t="s">
        <v>110</v>
      </c>
      <c r="L44" s="29" t="s">
        <v>129</v>
      </c>
      <c r="M44" s="14"/>
      <c r="N44" s="14"/>
    </row>
    <row r="45" spans="2:14" ht="30" x14ac:dyDescent="0.25">
      <c r="B45" s="64">
        <v>42</v>
      </c>
      <c r="C45" s="111">
        <v>45755</v>
      </c>
      <c r="D45" s="111"/>
      <c r="E45" s="14" t="s">
        <v>400</v>
      </c>
      <c r="F45" s="143" t="s">
        <v>408</v>
      </c>
      <c r="G45" s="65"/>
      <c r="H45" s="65"/>
      <c r="I45" s="17" t="s">
        <v>84</v>
      </c>
      <c r="J45" s="66"/>
      <c r="K45" s="145" t="s">
        <v>110</v>
      </c>
      <c r="L45" s="29" t="s">
        <v>129</v>
      </c>
      <c r="M45" s="14"/>
      <c r="N45" s="14"/>
    </row>
    <row r="46" spans="2:14" ht="30" x14ac:dyDescent="0.25">
      <c r="B46" s="64">
        <v>43</v>
      </c>
      <c r="C46" s="111">
        <v>45755</v>
      </c>
      <c r="D46" s="111"/>
      <c r="E46" s="14" t="s">
        <v>400</v>
      </c>
      <c r="F46" s="144" t="s">
        <v>409</v>
      </c>
      <c r="G46" s="65"/>
      <c r="H46" s="65"/>
      <c r="I46" s="17" t="s">
        <v>84</v>
      </c>
      <c r="J46" s="66"/>
      <c r="K46" s="145" t="s">
        <v>110</v>
      </c>
      <c r="L46" s="29" t="s">
        <v>129</v>
      </c>
      <c r="M46" s="14"/>
      <c r="N46" s="14"/>
    </row>
    <row r="47" spans="2:14" ht="30" x14ac:dyDescent="0.25">
      <c r="B47" s="64">
        <v>44</v>
      </c>
      <c r="C47" s="111">
        <v>45755</v>
      </c>
      <c r="D47" s="111"/>
      <c r="E47" s="14" t="s">
        <v>400</v>
      </c>
      <c r="F47" s="143" t="s">
        <v>410</v>
      </c>
      <c r="G47" s="65"/>
      <c r="H47" s="65"/>
      <c r="I47" s="17" t="s">
        <v>84</v>
      </c>
      <c r="J47" s="66"/>
      <c r="K47" s="145" t="s">
        <v>110</v>
      </c>
      <c r="L47" s="29" t="s">
        <v>129</v>
      </c>
      <c r="M47" s="14"/>
      <c r="N47" s="14"/>
    </row>
    <row r="48" spans="2:14" ht="30" x14ac:dyDescent="0.25">
      <c r="B48" s="64">
        <v>45</v>
      </c>
      <c r="C48" s="111">
        <v>45755</v>
      </c>
      <c r="D48" s="111"/>
      <c r="E48" s="14" t="s">
        <v>400</v>
      </c>
      <c r="F48" s="143" t="s">
        <v>411</v>
      </c>
      <c r="G48" s="65"/>
      <c r="H48" s="65"/>
      <c r="I48" s="17" t="s">
        <v>84</v>
      </c>
      <c r="J48" s="66"/>
      <c r="K48" s="145" t="s">
        <v>110</v>
      </c>
      <c r="L48" s="29" t="s">
        <v>129</v>
      </c>
      <c r="M48" s="14"/>
      <c r="N48" s="14"/>
    </row>
    <row r="49" spans="2:14" ht="30" x14ac:dyDescent="0.25">
      <c r="B49" s="64">
        <v>46</v>
      </c>
      <c r="C49" s="111">
        <v>45755</v>
      </c>
      <c r="D49" s="111"/>
      <c r="E49" s="14" t="s">
        <v>400</v>
      </c>
      <c r="F49" s="143" t="s">
        <v>412</v>
      </c>
      <c r="G49" s="65"/>
      <c r="H49" s="65"/>
      <c r="I49" s="17" t="s">
        <v>84</v>
      </c>
      <c r="J49" s="66"/>
      <c r="K49" s="145" t="s">
        <v>110</v>
      </c>
      <c r="L49" s="29" t="s">
        <v>129</v>
      </c>
      <c r="M49" s="14"/>
      <c r="N49" s="14"/>
    </row>
    <row r="50" spans="2:14" ht="30" x14ac:dyDescent="0.25">
      <c r="B50" s="64">
        <v>47</v>
      </c>
      <c r="C50" s="111">
        <v>45755</v>
      </c>
      <c r="D50" s="111"/>
      <c r="E50" s="14" t="s">
        <v>400</v>
      </c>
      <c r="F50" s="143" t="s">
        <v>413</v>
      </c>
      <c r="G50" s="65"/>
      <c r="H50" s="65"/>
      <c r="I50" s="17" t="s">
        <v>84</v>
      </c>
      <c r="J50" s="66"/>
      <c r="K50" s="145" t="s">
        <v>110</v>
      </c>
      <c r="L50" s="29" t="s">
        <v>129</v>
      </c>
      <c r="M50" s="14"/>
      <c r="N50" s="14"/>
    </row>
    <row r="51" spans="2:14" ht="45" x14ac:dyDescent="0.25">
      <c r="B51" s="64">
        <v>48</v>
      </c>
      <c r="C51" s="111">
        <v>45755</v>
      </c>
      <c r="D51" s="111"/>
      <c r="E51" s="14" t="s">
        <v>400</v>
      </c>
      <c r="F51" s="143" t="s">
        <v>414</v>
      </c>
      <c r="G51" s="65"/>
      <c r="H51" s="65"/>
      <c r="I51" s="17" t="s">
        <v>84</v>
      </c>
      <c r="J51" s="66"/>
      <c r="K51" s="145" t="s">
        <v>110</v>
      </c>
      <c r="L51" s="29" t="s">
        <v>129</v>
      </c>
      <c r="M51" s="14"/>
      <c r="N51" s="14"/>
    </row>
    <row r="52" spans="2:14" ht="45" x14ac:dyDescent="0.25">
      <c r="B52" s="64">
        <v>49</v>
      </c>
      <c r="C52" s="111">
        <v>45755</v>
      </c>
      <c r="D52" s="111"/>
      <c r="E52" s="14" t="s">
        <v>400</v>
      </c>
      <c r="F52" s="143" t="s">
        <v>415</v>
      </c>
      <c r="G52" s="65"/>
      <c r="H52" s="65"/>
      <c r="I52" s="17" t="s">
        <v>84</v>
      </c>
      <c r="J52" s="66"/>
      <c r="K52" s="145" t="s">
        <v>110</v>
      </c>
      <c r="L52" s="29" t="s">
        <v>129</v>
      </c>
      <c r="M52" s="14"/>
      <c r="N52" s="14"/>
    </row>
    <row r="53" spans="2:14" ht="30" x14ac:dyDescent="0.25">
      <c r="B53" s="64">
        <v>50</v>
      </c>
      <c r="C53" s="111">
        <v>45755</v>
      </c>
      <c r="D53" s="111"/>
      <c r="E53" s="14" t="s">
        <v>400</v>
      </c>
      <c r="F53" s="143" t="s">
        <v>417</v>
      </c>
      <c r="G53" s="65"/>
      <c r="H53" s="65"/>
      <c r="I53" s="17" t="s">
        <v>84</v>
      </c>
      <c r="J53" s="66"/>
      <c r="K53" s="145" t="s">
        <v>110</v>
      </c>
      <c r="L53" s="29" t="s">
        <v>129</v>
      </c>
      <c r="M53" s="14"/>
      <c r="N53" s="14"/>
    </row>
    <row r="54" spans="2:14" ht="30" x14ac:dyDescent="0.25">
      <c r="B54" s="64">
        <v>51</v>
      </c>
      <c r="C54" s="111">
        <v>45755</v>
      </c>
      <c r="D54" s="111"/>
      <c r="E54" s="14" t="s">
        <v>400</v>
      </c>
      <c r="F54" s="143" t="s">
        <v>416</v>
      </c>
      <c r="G54" s="65"/>
      <c r="H54" s="65"/>
      <c r="I54" s="17" t="s">
        <v>84</v>
      </c>
      <c r="J54" s="66"/>
      <c r="K54" s="145" t="s">
        <v>110</v>
      </c>
      <c r="L54" s="29" t="s">
        <v>129</v>
      </c>
      <c r="M54" s="14"/>
      <c r="N54" s="14"/>
    </row>
    <row r="55" spans="2:14" ht="150" x14ac:dyDescent="0.25">
      <c r="B55" s="64">
        <v>52</v>
      </c>
      <c r="C55" s="111">
        <v>45756</v>
      </c>
      <c r="D55" s="111"/>
      <c r="E55" s="14" t="s">
        <v>83</v>
      </c>
      <c r="F55" s="82" t="s">
        <v>217</v>
      </c>
      <c r="G55" s="65"/>
      <c r="H55" s="65"/>
      <c r="I55" s="17" t="s">
        <v>84</v>
      </c>
      <c r="J55" s="66"/>
      <c r="K55" s="114" t="s">
        <v>111</v>
      </c>
      <c r="L55" s="30" t="s">
        <v>216</v>
      </c>
      <c r="M55" s="14"/>
      <c r="N55" s="14" t="str">
        <f t="shared" ca="1" si="1"/>
        <v>13 months, 8 days</v>
      </c>
    </row>
    <row r="56" spans="2:14" ht="60" x14ac:dyDescent="0.25">
      <c r="B56" s="64">
        <v>53</v>
      </c>
      <c r="C56" s="111">
        <v>45759</v>
      </c>
      <c r="D56" s="111"/>
      <c r="E56" s="14" t="s">
        <v>163</v>
      </c>
      <c r="F56" s="82" t="s">
        <v>219</v>
      </c>
      <c r="G56" s="65"/>
      <c r="H56" s="65"/>
      <c r="I56" s="65"/>
      <c r="J56" s="17" t="s">
        <v>84</v>
      </c>
      <c r="K56" s="114" t="s">
        <v>117</v>
      </c>
      <c r="L56" s="30" t="s">
        <v>202</v>
      </c>
      <c r="M56" s="14"/>
      <c r="N56" s="14" t="str">
        <f t="shared" ca="1" si="1"/>
        <v>13 months, 5 days</v>
      </c>
    </row>
    <row r="57" spans="2:14" ht="54.75" customHeight="1" x14ac:dyDescent="0.25">
      <c r="B57" s="64">
        <v>54</v>
      </c>
      <c r="C57" s="111">
        <v>45761</v>
      </c>
      <c r="D57" s="111">
        <v>45760</v>
      </c>
      <c r="E57" s="14" t="s">
        <v>163</v>
      </c>
      <c r="F57" s="82" t="s">
        <v>235</v>
      </c>
      <c r="G57" s="65"/>
      <c r="H57" s="65"/>
      <c r="I57" s="65"/>
      <c r="J57" s="17" t="s">
        <v>84</v>
      </c>
      <c r="K57" s="114" t="s">
        <v>117</v>
      </c>
      <c r="L57" s="30" t="s">
        <v>202</v>
      </c>
      <c r="M57" s="14"/>
      <c r="N57" s="14" t="str">
        <f t="shared" ca="1" si="1"/>
        <v>13 months, 3 days</v>
      </c>
    </row>
    <row r="58" spans="2:14" ht="45.75" customHeight="1" x14ac:dyDescent="0.25">
      <c r="B58" s="64">
        <v>55</v>
      </c>
      <c r="C58" s="111">
        <v>45761</v>
      </c>
      <c r="D58" s="111">
        <v>45760</v>
      </c>
      <c r="E58" s="14" t="s">
        <v>163</v>
      </c>
      <c r="F58" s="14" t="s">
        <v>234</v>
      </c>
      <c r="G58" s="65"/>
      <c r="H58" s="65"/>
      <c r="I58" s="65"/>
      <c r="J58" s="17" t="s">
        <v>84</v>
      </c>
      <c r="K58" s="114" t="s">
        <v>117</v>
      </c>
      <c r="L58" s="30" t="s">
        <v>202</v>
      </c>
      <c r="M58" s="14"/>
      <c r="N58" s="14" t="str">
        <f t="shared" ca="1" si="1"/>
        <v>13 months, 3 days</v>
      </c>
    </row>
    <row r="59" spans="2:14" ht="105" x14ac:dyDescent="0.25">
      <c r="B59" s="64">
        <v>56</v>
      </c>
      <c r="C59" s="111">
        <v>45763</v>
      </c>
      <c r="D59" s="111"/>
      <c r="E59" s="14" t="s">
        <v>226</v>
      </c>
      <c r="F59" s="14" t="s">
        <v>242</v>
      </c>
      <c r="G59" s="17" t="s">
        <v>84</v>
      </c>
      <c r="H59" s="65"/>
      <c r="I59" s="65"/>
      <c r="J59" s="17" t="s">
        <v>84</v>
      </c>
      <c r="K59" s="145" t="s">
        <v>111</v>
      </c>
      <c r="L59" s="69" t="s">
        <v>233</v>
      </c>
      <c r="M59" s="14"/>
      <c r="N59" s="14" t="str">
        <f t="shared" ca="1" si="1"/>
        <v>13 months, 1 days</v>
      </c>
    </row>
    <row r="60" spans="2:14" ht="75" x14ac:dyDescent="0.25">
      <c r="B60" s="64">
        <v>57</v>
      </c>
      <c r="C60" s="111">
        <v>45763</v>
      </c>
      <c r="D60" s="111"/>
      <c r="E60" s="14" t="s">
        <v>83</v>
      </c>
      <c r="F60" s="82" t="s">
        <v>806</v>
      </c>
      <c r="G60" s="65"/>
      <c r="H60" s="65"/>
      <c r="I60" s="17" t="s">
        <v>84</v>
      </c>
      <c r="J60" s="66"/>
      <c r="K60" s="145" t="s">
        <v>111</v>
      </c>
      <c r="L60" s="29" t="s">
        <v>190</v>
      </c>
      <c r="M60" s="14" t="s">
        <v>824</v>
      </c>
      <c r="N60" s="14" t="str">
        <f t="shared" ca="1" si="1"/>
        <v>13 months, 1 days</v>
      </c>
    </row>
    <row r="61" spans="2:14" ht="31.5" x14ac:dyDescent="0.25">
      <c r="B61" s="64">
        <v>58</v>
      </c>
      <c r="C61" s="111">
        <v>45763</v>
      </c>
      <c r="D61" s="111"/>
      <c r="E61" s="14" t="s">
        <v>163</v>
      </c>
      <c r="F61" s="82" t="s">
        <v>245</v>
      </c>
      <c r="G61" s="65"/>
      <c r="H61" s="65"/>
      <c r="I61" s="65"/>
      <c r="J61" s="17" t="s">
        <v>84</v>
      </c>
      <c r="K61" s="114" t="s">
        <v>117</v>
      </c>
      <c r="L61" s="30" t="s">
        <v>202</v>
      </c>
      <c r="M61" s="14"/>
      <c r="N61" s="14" t="str">
        <f t="shared" ca="1" si="1"/>
        <v>13 months, 1 days</v>
      </c>
    </row>
    <row r="62" spans="2:14" ht="31.5" x14ac:dyDescent="0.25">
      <c r="B62" s="64">
        <v>59</v>
      </c>
      <c r="C62" s="111">
        <v>45766</v>
      </c>
      <c r="D62" s="111"/>
      <c r="E62" s="14" t="s">
        <v>163</v>
      </c>
      <c r="F62" s="82" t="s">
        <v>249</v>
      </c>
      <c r="G62" s="65"/>
      <c r="H62" s="65"/>
      <c r="I62" s="65"/>
      <c r="J62" s="17" t="s">
        <v>84</v>
      </c>
      <c r="K62" s="114" t="s">
        <v>117</v>
      </c>
      <c r="L62" s="30" t="s">
        <v>202</v>
      </c>
      <c r="M62" s="14"/>
      <c r="N62" s="14" t="str">
        <f t="shared" ca="1" si="1"/>
        <v>12 months, 28 days</v>
      </c>
    </row>
    <row r="63" spans="2:14" ht="66" customHeight="1" x14ac:dyDescent="0.25">
      <c r="B63" s="64">
        <v>60</v>
      </c>
      <c r="C63" s="111">
        <v>45769</v>
      </c>
      <c r="D63" s="111"/>
      <c r="E63" s="14" t="s">
        <v>265</v>
      </c>
      <c r="F63" s="32" t="s">
        <v>266</v>
      </c>
      <c r="G63" s="65"/>
      <c r="H63" s="65"/>
      <c r="I63" s="17"/>
      <c r="J63" s="66"/>
      <c r="K63" s="114" t="s">
        <v>111</v>
      </c>
      <c r="L63" s="69" t="s">
        <v>189</v>
      </c>
      <c r="M63" s="14"/>
      <c r="N63" s="14" t="str">
        <f t="shared" ca="1" si="1"/>
        <v>12 months, 25 days</v>
      </c>
    </row>
    <row r="64" spans="2:14" ht="79.5" customHeight="1" x14ac:dyDescent="0.25">
      <c r="B64" s="64">
        <v>61</v>
      </c>
      <c r="C64" s="111">
        <v>45769</v>
      </c>
      <c r="D64" s="111"/>
      <c r="E64" s="14" t="s">
        <v>265</v>
      </c>
      <c r="F64" s="32" t="s">
        <v>283</v>
      </c>
      <c r="G64" s="65"/>
      <c r="H64" s="65"/>
      <c r="I64" s="17"/>
      <c r="J64" s="66"/>
      <c r="K64" s="183" t="s">
        <v>110</v>
      </c>
      <c r="L64" s="69" t="s">
        <v>282</v>
      </c>
      <c r="M64" s="14" t="s">
        <v>824</v>
      </c>
      <c r="N64" s="14" t="str">
        <f t="shared" ca="1" si="1"/>
        <v>12 months, 25 days</v>
      </c>
    </row>
    <row r="65" spans="2:14" ht="31.5" x14ac:dyDescent="0.25">
      <c r="B65" s="64">
        <v>62</v>
      </c>
      <c r="C65" s="111">
        <v>45769</v>
      </c>
      <c r="D65" s="111"/>
      <c r="E65" s="14" t="s">
        <v>265</v>
      </c>
      <c r="F65" s="100" t="s">
        <v>267</v>
      </c>
      <c r="G65" s="65"/>
      <c r="H65" s="65"/>
      <c r="I65" s="17" t="s">
        <v>84</v>
      </c>
      <c r="J65" s="66"/>
      <c r="K65" s="183" t="s">
        <v>110</v>
      </c>
      <c r="L65" s="69" t="s">
        <v>189</v>
      </c>
      <c r="M65" s="14"/>
      <c r="N65" s="14" t="str">
        <f t="shared" ca="1" si="1"/>
        <v>12 months, 25 days</v>
      </c>
    </row>
    <row r="66" spans="2:14" ht="31.5" x14ac:dyDescent="0.25">
      <c r="B66" s="64">
        <v>63</v>
      </c>
      <c r="C66" s="111">
        <v>45769</v>
      </c>
      <c r="D66" s="111"/>
      <c r="E66" s="14" t="s">
        <v>253</v>
      </c>
      <c r="F66" s="131" t="s">
        <v>270</v>
      </c>
      <c r="G66" s="65"/>
      <c r="H66" s="65"/>
      <c r="I66" s="17" t="s">
        <v>84</v>
      </c>
      <c r="J66" s="66"/>
      <c r="K66" s="114" t="s">
        <v>111</v>
      </c>
      <c r="L66" s="69" t="s">
        <v>271</v>
      </c>
      <c r="M66" s="14"/>
      <c r="N66" s="14" t="str">
        <f t="shared" ca="1" si="1"/>
        <v>12 months, 25 days</v>
      </c>
    </row>
    <row r="67" spans="2:14" ht="47.25" x14ac:dyDescent="0.25">
      <c r="B67" s="64">
        <v>64</v>
      </c>
      <c r="C67" s="111">
        <v>45769</v>
      </c>
      <c r="D67" s="111"/>
      <c r="E67" s="14" t="s">
        <v>253</v>
      </c>
      <c r="F67" s="79" t="s">
        <v>272</v>
      </c>
      <c r="G67" s="65"/>
      <c r="H67" s="65"/>
      <c r="I67" s="17" t="s">
        <v>84</v>
      </c>
      <c r="J67" s="66"/>
      <c r="K67" s="114" t="s">
        <v>111</v>
      </c>
      <c r="L67" s="69" t="s">
        <v>179</v>
      </c>
      <c r="M67" s="14" t="s">
        <v>755</v>
      </c>
      <c r="N67" s="14" t="str">
        <f t="shared" ca="1" si="1"/>
        <v>12 months, 25 days</v>
      </c>
    </row>
    <row r="68" spans="2:14" ht="45" x14ac:dyDescent="0.25">
      <c r="B68" s="64">
        <v>65</v>
      </c>
      <c r="C68" s="111">
        <v>45769</v>
      </c>
      <c r="D68" s="111"/>
      <c r="E68" s="14" t="s">
        <v>253</v>
      </c>
      <c r="F68" s="131" t="s">
        <v>273</v>
      </c>
      <c r="G68" s="65"/>
      <c r="H68" s="65"/>
      <c r="I68" s="17" t="s">
        <v>84</v>
      </c>
      <c r="J68" s="66"/>
      <c r="K68" s="114" t="s">
        <v>111</v>
      </c>
      <c r="L68" s="69" t="s">
        <v>179</v>
      </c>
      <c r="M68" s="14" t="s">
        <v>755</v>
      </c>
      <c r="N68" s="14" t="str">
        <f t="shared" ca="1" si="1"/>
        <v>12 months, 25 days</v>
      </c>
    </row>
    <row r="69" spans="2:14" ht="31.5" x14ac:dyDescent="0.25">
      <c r="B69" s="64">
        <v>66</v>
      </c>
      <c r="C69" s="111">
        <v>45769</v>
      </c>
      <c r="D69" s="111"/>
      <c r="E69" s="14" t="s">
        <v>253</v>
      </c>
      <c r="F69" s="79" t="s">
        <v>274</v>
      </c>
      <c r="G69" s="65"/>
      <c r="H69" s="65"/>
      <c r="I69" s="17" t="s">
        <v>84</v>
      </c>
      <c r="J69" s="66"/>
      <c r="K69" s="114" t="s">
        <v>111</v>
      </c>
      <c r="L69" s="69" t="s">
        <v>275</v>
      </c>
      <c r="M69" s="14"/>
      <c r="N69" s="14" t="str">
        <f t="shared" ca="1" si="1"/>
        <v>12 months, 25 days</v>
      </c>
    </row>
    <row r="70" spans="2:14" ht="31.5" x14ac:dyDescent="0.25">
      <c r="B70" s="64">
        <v>67</v>
      </c>
      <c r="C70" s="111">
        <v>45769</v>
      </c>
      <c r="D70" s="111"/>
      <c r="E70" s="14" t="s">
        <v>253</v>
      </c>
      <c r="F70" s="131" t="s">
        <v>276</v>
      </c>
      <c r="G70" s="65"/>
      <c r="H70" s="65"/>
      <c r="I70" s="17" t="s">
        <v>84</v>
      </c>
      <c r="J70" s="66"/>
      <c r="K70" s="105" t="s">
        <v>91</v>
      </c>
      <c r="L70" s="69" t="s">
        <v>176</v>
      </c>
      <c r="M70" s="14"/>
      <c r="N70" s="14" t="str">
        <f t="shared" ca="1" si="1"/>
        <v>12 months, 25 days</v>
      </c>
    </row>
    <row r="71" spans="2:14" ht="31.5" x14ac:dyDescent="0.25">
      <c r="B71" s="64">
        <v>68</v>
      </c>
      <c r="C71" s="111">
        <v>45769</v>
      </c>
      <c r="D71" s="111"/>
      <c r="E71" s="14" t="s">
        <v>253</v>
      </c>
      <c r="F71" s="131" t="s">
        <v>277</v>
      </c>
      <c r="G71" s="65"/>
      <c r="H71" s="65"/>
      <c r="I71" s="17" t="s">
        <v>84</v>
      </c>
      <c r="J71" s="66"/>
      <c r="K71" s="114" t="s">
        <v>111</v>
      </c>
      <c r="L71" s="69" t="s">
        <v>278</v>
      </c>
      <c r="M71" s="14"/>
      <c r="N71" s="14" t="str">
        <f t="shared" ca="1" si="1"/>
        <v>12 months, 25 days</v>
      </c>
    </row>
    <row r="72" spans="2:14" ht="60" x14ac:dyDescent="0.25">
      <c r="B72" s="64">
        <v>69</v>
      </c>
      <c r="C72" s="111">
        <v>45769</v>
      </c>
      <c r="D72" s="111"/>
      <c r="E72" s="14" t="s">
        <v>253</v>
      </c>
      <c r="F72" s="131" t="s">
        <v>279</v>
      </c>
      <c r="G72" s="65"/>
      <c r="H72" s="65"/>
      <c r="I72" s="17" t="s">
        <v>84</v>
      </c>
      <c r="J72" s="66"/>
      <c r="K72" s="114" t="s">
        <v>111</v>
      </c>
      <c r="L72" s="69" t="s">
        <v>190</v>
      </c>
      <c r="M72" s="14" t="s">
        <v>828</v>
      </c>
      <c r="N72" s="14" t="str">
        <f t="shared" ca="1" si="1"/>
        <v>12 months, 25 days</v>
      </c>
    </row>
    <row r="73" spans="2:14" ht="31.5" x14ac:dyDescent="0.25">
      <c r="B73" s="64">
        <v>70</v>
      </c>
      <c r="C73" s="111">
        <v>45769</v>
      </c>
      <c r="D73" s="111"/>
      <c r="E73" s="14" t="s">
        <v>253</v>
      </c>
      <c r="F73" s="79" t="s">
        <v>281</v>
      </c>
      <c r="G73" s="65"/>
      <c r="H73" s="65"/>
      <c r="I73" s="17" t="s">
        <v>84</v>
      </c>
      <c r="J73" s="66"/>
      <c r="K73" s="114" t="s">
        <v>111</v>
      </c>
      <c r="L73" s="79" t="s">
        <v>202</v>
      </c>
      <c r="M73" s="14"/>
      <c r="N73" s="14" t="str">
        <f t="shared" ca="1" si="1"/>
        <v>12 months, 25 days</v>
      </c>
    </row>
    <row r="74" spans="2:14" ht="47.25" x14ac:dyDescent="0.25">
      <c r="B74" s="64">
        <v>71</v>
      </c>
      <c r="C74" s="111">
        <v>45769</v>
      </c>
      <c r="D74" s="111"/>
      <c r="E74" s="14" t="s">
        <v>253</v>
      </c>
      <c r="F74" s="79" t="s">
        <v>318</v>
      </c>
      <c r="G74" s="65"/>
      <c r="H74" s="65"/>
      <c r="I74" s="17"/>
      <c r="J74" s="66"/>
      <c r="K74" s="114" t="s">
        <v>111</v>
      </c>
      <c r="L74" s="80" t="s">
        <v>319</v>
      </c>
      <c r="M74" s="14"/>
      <c r="N74" s="14" t="str">
        <f t="shared" ca="1" si="1"/>
        <v>12 months, 25 days</v>
      </c>
    </row>
    <row r="75" spans="2:14" ht="47.25" x14ac:dyDescent="0.25">
      <c r="B75" s="64">
        <v>72</v>
      </c>
      <c r="C75" s="111">
        <v>45769</v>
      </c>
      <c r="D75" s="111"/>
      <c r="E75" s="14" t="s">
        <v>253</v>
      </c>
      <c r="F75" s="130" t="s">
        <v>280</v>
      </c>
      <c r="G75" s="65"/>
      <c r="H75" s="65"/>
      <c r="I75" s="17" t="s">
        <v>84</v>
      </c>
      <c r="J75" s="66"/>
      <c r="K75" s="114" t="s">
        <v>111</v>
      </c>
      <c r="L75" s="69" t="s">
        <v>202</v>
      </c>
      <c r="M75" s="14"/>
      <c r="N75" s="14" t="str">
        <f t="shared" ca="1" si="1"/>
        <v>12 months, 25 days</v>
      </c>
    </row>
    <row r="76" spans="2:14" ht="55.5" customHeight="1" x14ac:dyDescent="0.25">
      <c r="B76" s="64">
        <v>73</v>
      </c>
      <c r="C76" s="111">
        <v>45769</v>
      </c>
      <c r="D76" s="111"/>
      <c r="E76" s="14" t="s">
        <v>265</v>
      </c>
      <c r="F76" s="100" t="s">
        <v>269</v>
      </c>
      <c r="G76" s="65"/>
      <c r="H76" s="65"/>
      <c r="I76" s="17" t="s">
        <v>84</v>
      </c>
      <c r="J76" s="66"/>
      <c r="K76" s="114" t="s">
        <v>111</v>
      </c>
      <c r="L76" s="69" t="s">
        <v>179</v>
      </c>
      <c r="M76" s="14" t="s">
        <v>755</v>
      </c>
      <c r="N76" s="14" t="str">
        <f t="shared" ca="1" si="1"/>
        <v>12 months, 25 days</v>
      </c>
    </row>
    <row r="77" spans="2:14" ht="45" x14ac:dyDescent="0.25">
      <c r="B77" s="64">
        <v>74</v>
      </c>
      <c r="C77" s="111">
        <v>45769</v>
      </c>
      <c r="D77" s="111"/>
      <c r="E77" s="14" t="s">
        <v>253</v>
      </c>
      <c r="F77" s="82" t="s">
        <v>255</v>
      </c>
      <c r="G77" s="65"/>
      <c r="H77" s="65"/>
      <c r="I77" s="17" t="s">
        <v>84</v>
      </c>
      <c r="J77" s="66"/>
      <c r="K77" s="114" t="s">
        <v>111</v>
      </c>
      <c r="L77" s="69" t="s">
        <v>179</v>
      </c>
      <c r="M77" s="14" t="s">
        <v>755</v>
      </c>
      <c r="N77" s="14" t="str">
        <f t="shared" ca="1" si="1"/>
        <v>12 months, 25 days</v>
      </c>
    </row>
    <row r="78" spans="2:14" ht="274.5" customHeight="1" x14ac:dyDescent="0.25">
      <c r="B78" s="64">
        <v>75</v>
      </c>
      <c r="C78" s="111">
        <v>45778</v>
      </c>
      <c r="D78" s="111"/>
      <c r="E78" s="14" t="s">
        <v>83</v>
      </c>
      <c r="F78" s="82" t="s">
        <v>264</v>
      </c>
      <c r="G78" s="65"/>
      <c r="H78" s="65"/>
      <c r="I78" s="17"/>
      <c r="J78" s="66"/>
      <c r="K78" s="114" t="s">
        <v>111</v>
      </c>
      <c r="L78" s="30" t="s">
        <v>216</v>
      </c>
      <c r="M78" s="14"/>
      <c r="N78" s="14" t="str">
        <f t="shared" ca="1" si="1"/>
        <v>12 months, 16 days</v>
      </c>
    </row>
    <row r="79" spans="2:14" ht="90" x14ac:dyDescent="0.25">
      <c r="B79" s="64">
        <v>76</v>
      </c>
      <c r="C79" s="111">
        <v>45781</v>
      </c>
      <c r="D79" s="111"/>
      <c r="E79" s="14" t="s">
        <v>83</v>
      </c>
      <c r="F79" s="82" t="s">
        <v>258</v>
      </c>
      <c r="G79" s="65"/>
      <c r="H79" s="65"/>
      <c r="I79" s="17" t="s">
        <v>84</v>
      </c>
      <c r="J79" s="66"/>
      <c r="K79" s="114" t="s">
        <v>111</v>
      </c>
      <c r="L79" s="69" t="s">
        <v>90</v>
      </c>
      <c r="M79" s="106" t="s">
        <v>811</v>
      </c>
      <c r="N79" s="14" t="str">
        <f t="shared" ca="1" si="1"/>
        <v>12 months, 13 days</v>
      </c>
    </row>
    <row r="80" spans="2:14" ht="120" x14ac:dyDescent="0.25">
      <c r="B80" s="64">
        <v>77</v>
      </c>
      <c r="C80" s="111">
        <v>45783</v>
      </c>
      <c r="D80" s="111"/>
      <c r="E80" s="14" t="s">
        <v>83</v>
      </c>
      <c r="F80" s="82" t="s">
        <v>259</v>
      </c>
      <c r="G80" s="17" t="s">
        <v>84</v>
      </c>
      <c r="H80" s="65"/>
      <c r="I80" s="17"/>
      <c r="J80" s="66"/>
      <c r="K80" s="114" t="s">
        <v>111</v>
      </c>
      <c r="L80" s="29" t="s">
        <v>129</v>
      </c>
      <c r="M80" s="14"/>
      <c r="N80" s="14" t="str">
        <f t="shared" ca="1" si="1"/>
        <v>12 months, 11 days</v>
      </c>
    </row>
    <row r="81" spans="2:14" ht="45" x14ac:dyDescent="0.25">
      <c r="B81" s="64">
        <v>78</v>
      </c>
      <c r="C81" s="111">
        <v>45788</v>
      </c>
      <c r="D81" s="111"/>
      <c r="E81" s="14" t="s">
        <v>163</v>
      </c>
      <c r="F81" s="82" t="s">
        <v>303</v>
      </c>
      <c r="G81" s="65"/>
      <c r="H81" s="65"/>
      <c r="I81" s="65"/>
      <c r="J81" s="17" t="s">
        <v>84</v>
      </c>
      <c r="K81" s="67" t="s">
        <v>117</v>
      </c>
      <c r="L81" s="69" t="s">
        <v>202</v>
      </c>
      <c r="M81" s="14"/>
      <c r="N81" s="14" t="str">
        <f ca="1">DATEDIF(C81, TODAY(), "m") &amp; " months, " &amp; DATEDIF(C81, TODAY(), "md") &amp; " days"</f>
        <v>12 months, 6 days</v>
      </c>
    </row>
    <row r="82" spans="2:14" ht="31.5" x14ac:dyDescent="0.25">
      <c r="B82" s="64">
        <v>79</v>
      </c>
      <c r="C82" s="111">
        <v>45795</v>
      </c>
      <c r="D82" s="111"/>
      <c r="E82" s="14" t="s">
        <v>306</v>
      </c>
      <c r="F82" s="82" t="s">
        <v>329</v>
      </c>
      <c r="G82" s="65"/>
      <c r="H82" s="17" t="s">
        <v>84</v>
      </c>
      <c r="I82" s="65"/>
      <c r="J82" s="135"/>
      <c r="K82" s="67" t="s">
        <v>111</v>
      </c>
      <c r="L82" s="69" t="s">
        <v>202</v>
      </c>
      <c r="M82" s="14"/>
      <c r="N82" s="14"/>
    </row>
    <row r="83" spans="2:14" ht="45" x14ac:dyDescent="0.25">
      <c r="B83" s="64">
        <v>80</v>
      </c>
      <c r="C83" s="111">
        <v>45797</v>
      </c>
      <c r="D83" s="111"/>
      <c r="E83" s="14" t="s">
        <v>83</v>
      </c>
      <c r="F83" s="82" t="s">
        <v>308</v>
      </c>
      <c r="G83" s="65"/>
      <c r="H83" s="65"/>
      <c r="I83" s="17" t="s">
        <v>84</v>
      </c>
      <c r="J83" s="66"/>
      <c r="K83" s="67" t="s">
        <v>111</v>
      </c>
      <c r="L83" s="69" t="s">
        <v>179</v>
      </c>
      <c r="M83" s="14"/>
      <c r="N83" s="14"/>
    </row>
    <row r="84" spans="2:14" ht="45" x14ac:dyDescent="0.25">
      <c r="B84" s="64">
        <v>81</v>
      </c>
      <c r="C84" s="111">
        <v>45799</v>
      </c>
      <c r="D84" s="111"/>
      <c r="E84" s="14" t="s">
        <v>163</v>
      </c>
      <c r="F84" s="82" t="s">
        <v>310</v>
      </c>
      <c r="G84" s="65"/>
      <c r="H84" s="65"/>
      <c r="I84" s="65"/>
      <c r="J84" s="17" t="s">
        <v>84</v>
      </c>
      <c r="K84" s="67" t="s">
        <v>117</v>
      </c>
      <c r="L84" s="69" t="s">
        <v>202</v>
      </c>
      <c r="M84" s="14"/>
      <c r="N84" s="14" t="str">
        <f t="shared" ca="1" si="1"/>
        <v>11 months, 25 days</v>
      </c>
    </row>
    <row r="85" spans="2:14" ht="30" x14ac:dyDescent="0.25">
      <c r="B85" s="64">
        <v>82</v>
      </c>
      <c r="C85" s="111">
        <v>45807</v>
      </c>
      <c r="D85" s="111"/>
      <c r="E85" s="14" t="s">
        <v>400</v>
      </c>
      <c r="F85" s="82" t="s">
        <v>478</v>
      </c>
      <c r="G85" s="65"/>
      <c r="H85" s="65"/>
      <c r="I85" s="17" t="s">
        <v>84</v>
      </c>
      <c r="J85" s="135"/>
      <c r="K85" s="114" t="s">
        <v>110</v>
      </c>
      <c r="L85" s="69" t="s">
        <v>271</v>
      </c>
      <c r="M85" s="14"/>
      <c r="N85" s="14" t="str">
        <f t="shared" ca="1" si="1"/>
        <v>11 months, 17 days</v>
      </c>
    </row>
    <row r="86" spans="2:14" ht="30" x14ac:dyDescent="0.25">
      <c r="B86" s="64">
        <v>83</v>
      </c>
      <c r="C86" s="111">
        <v>45807</v>
      </c>
      <c r="D86" s="111"/>
      <c r="E86" s="14" t="s">
        <v>400</v>
      </c>
      <c r="F86" s="82" t="s">
        <v>479</v>
      </c>
      <c r="G86" s="65"/>
      <c r="H86" s="65"/>
      <c r="I86" s="17" t="s">
        <v>84</v>
      </c>
      <c r="J86" s="135"/>
      <c r="K86" s="114" t="s">
        <v>110</v>
      </c>
      <c r="L86" s="69" t="s">
        <v>271</v>
      </c>
      <c r="M86" s="14"/>
      <c r="N86" s="14"/>
    </row>
    <row r="87" spans="2:14" ht="30" x14ac:dyDescent="0.25">
      <c r="B87" s="64">
        <v>84</v>
      </c>
      <c r="C87" s="111">
        <v>45807</v>
      </c>
      <c r="D87" s="111"/>
      <c r="E87" s="14" t="s">
        <v>400</v>
      </c>
      <c r="F87" s="82" t="s">
        <v>480</v>
      </c>
      <c r="G87" s="65"/>
      <c r="H87" s="65"/>
      <c r="I87" s="17" t="s">
        <v>84</v>
      </c>
      <c r="J87" s="135"/>
      <c r="K87" s="114" t="s">
        <v>110</v>
      </c>
      <c r="L87" s="69" t="s">
        <v>271</v>
      </c>
      <c r="M87" s="14"/>
      <c r="N87" s="14"/>
    </row>
    <row r="88" spans="2:14" ht="30" x14ac:dyDescent="0.25">
      <c r="B88" s="64">
        <v>85</v>
      </c>
      <c r="C88" s="111">
        <v>45807</v>
      </c>
      <c r="D88" s="111"/>
      <c r="E88" s="14" t="s">
        <v>400</v>
      </c>
      <c r="F88" s="82" t="s">
        <v>481</v>
      </c>
      <c r="G88" s="65"/>
      <c r="H88" s="65"/>
      <c r="I88" s="17" t="s">
        <v>84</v>
      </c>
      <c r="J88" s="135"/>
      <c r="K88" s="114" t="s">
        <v>110</v>
      </c>
      <c r="L88" s="69" t="s">
        <v>271</v>
      </c>
      <c r="M88" s="14"/>
      <c r="N88" s="14"/>
    </row>
    <row r="89" spans="2:14" ht="30" x14ac:dyDescent="0.25">
      <c r="B89" s="64">
        <v>86</v>
      </c>
      <c r="C89" s="111">
        <v>45807</v>
      </c>
      <c r="D89" s="111"/>
      <c r="E89" s="14" t="s">
        <v>400</v>
      </c>
      <c r="F89" s="82" t="s">
        <v>482</v>
      </c>
      <c r="G89" s="65"/>
      <c r="H89" s="65"/>
      <c r="I89" s="17" t="s">
        <v>84</v>
      </c>
      <c r="J89" s="135"/>
      <c r="K89" s="114" t="s">
        <v>110</v>
      </c>
      <c r="L89" s="69" t="s">
        <v>271</v>
      </c>
      <c r="M89" s="14"/>
      <c r="N89" s="14"/>
    </row>
    <row r="90" spans="2:14" ht="30" x14ac:dyDescent="0.25">
      <c r="B90" s="64">
        <v>87</v>
      </c>
      <c r="C90" s="111">
        <v>45807</v>
      </c>
      <c r="D90" s="111"/>
      <c r="E90" s="14" t="s">
        <v>400</v>
      </c>
      <c r="F90" s="82" t="s">
        <v>483</v>
      </c>
      <c r="G90" s="65"/>
      <c r="H90" s="65"/>
      <c r="I90" s="17" t="s">
        <v>84</v>
      </c>
      <c r="J90" s="135"/>
      <c r="K90" s="114" t="s">
        <v>110</v>
      </c>
      <c r="L90" s="69" t="s">
        <v>271</v>
      </c>
      <c r="M90" s="14"/>
      <c r="N90" s="14"/>
    </row>
    <row r="91" spans="2:14" ht="30" x14ac:dyDescent="0.25">
      <c r="B91" s="64">
        <v>88</v>
      </c>
      <c r="C91" s="111">
        <v>45807</v>
      </c>
      <c r="D91" s="111"/>
      <c r="E91" s="14" t="s">
        <v>400</v>
      </c>
      <c r="F91" s="82" t="s">
        <v>484</v>
      </c>
      <c r="G91" s="65"/>
      <c r="H91" s="65"/>
      <c r="I91" s="17" t="s">
        <v>84</v>
      </c>
      <c r="J91" s="135"/>
      <c r="K91" s="114" t="s">
        <v>110</v>
      </c>
      <c r="L91" s="69" t="s">
        <v>271</v>
      </c>
      <c r="M91" s="14"/>
      <c r="N91" s="14"/>
    </row>
    <row r="92" spans="2:14" ht="45" x14ac:dyDescent="0.25">
      <c r="B92" s="64">
        <v>89</v>
      </c>
      <c r="C92" s="111">
        <v>45807</v>
      </c>
      <c r="D92" s="111"/>
      <c r="E92" s="14" t="s">
        <v>400</v>
      </c>
      <c r="F92" s="82" t="s">
        <v>485</v>
      </c>
      <c r="G92" s="65"/>
      <c r="H92" s="65"/>
      <c r="I92" s="17" t="s">
        <v>84</v>
      </c>
      <c r="J92" s="135"/>
      <c r="K92" s="114" t="s">
        <v>110</v>
      </c>
      <c r="L92" s="69" t="s">
        <v>271</v>
      </c>
      <c r="M92" s="14"/>
      <c r="N92" s="14"/>
    </row>
    <row r="93" spans="2:14" ht="30" x14ac:dyDescent="0.25">
      <c r="B93" s="64">
        <v>90</v>
      </c>
      <c r="C93" s="111">
        <v>45807</v>
      </c>
      <c r="D93" s="111"/>
      <c r="E93" s="14" t="s">
        <v>400</v>
      </c>
      <c r="F93" s="82" t="s">
        <v>486</v>
      </c>
      <c r="G93" s="65"/>
      <c r="H93" s="65"/>
      <c r="I93" s="17" t="s">
        <v>84</v>
      </c>
      <c r="J93" s="135"/>
      <c r="K93" s="114" t="s">
        <v>110</v>
      </c>
      <c r="L93" s="69" t="s">
        <v>271</v>
      </c>
      <c r="M93" s="14"/>
      <c r="N93" s="14"/>
    </row>
    <row r="94" spans="2:14" ht="45" x14ac:dyDescent="0.25">
      <c r="B94" s="64">
        <v>91</v>
      </c>
      <c r="C94" s="111">
        <v>45807</v>
      </c>
      <c r="D94" s="111"/>
      <c r="E94" s="14" t="s">
        <v>400</v>
      </c>
      <c r="F94" s="82" t="s">
        <v>487</v>
      </c>
      <c r="G94" s="65"/>
      <c r="H94" s="65"/>
      <c r="I94" s="17" t="s">
        <v>84</v>
      </c>
      <c r="J94" s="135"/>
      <c r="K94" s="114" t="s">
        <v>110</v>
      </c>
      <c r="L94" s="69" t="s">
        <v>271</v>
      </c>
      <c r="M94" s="14"/>
      <c r="N94" s="14"/>
    </row>
    <row r="95" spans="2:14" ht="30" x14ac:dyDescent="0.25">
      <c r="B95" s="64">
        <v>92</v>
      </c>
      <c r="C95" s="111">
        <v>45807</v>
      </c>
      <c r="D95" s="111"/>
      <c r="E95" s="14" t="s">
        <v>400</v>
      </c>
      <c r="F95" s="82" t="s">
        <v>488</v>
      </c>
      <c r="G95" s="65"/>
      <c r="H95" s="65"/>
      <c r="I95" s="17" t="s">
        <v>84</v>
      </c>
      <c r="J95" s="135"/>
      <c r="K95" s="114" t="s">
        <v>110</v>
      </c>
      <c r="L95" s="69" t="s">
        <v>271</v>
      </c>
      <c r="M95" s="14"/>
      <c r="N95" s="14"/>
    </row>
    <row r="96" spans="2:14" ht="30" x14ac:dyDescent="0.25">
      <c r="B96" s="64">
        <v>93</v>
      </c>
      <c r="C96" s="111">
        <v>45807</v>
      </c>
      <c r="D96" s="111"/>
      <c r="E96" s="14" t="s">
        <v>400</v>
      </c>
      <c r="F96" s="82" t="s">
        <v>489</v>
      </c>
      <c r="G96" s="65"/>
      <c r="H96" s="65"/>
      <c r="I96" s="17" t="s">
        <v>84</v>
      </c>
      <c r="J96" s="135"/>
      <c r="K96" s="114" t="s">
        <v>110</v>
      </c>
      <c r="L96" s="69" t="s">
        <v>271</v>
      </c>
      <c r="M96" s="14"/>
      <c r="N96" s="14"/>
    </row>
    <row r="97" spans="2:14" ht="30" x14ac:dyDescent="0.25">
      <c r="B97" s="64">
        <v>94</v>
      </c>
      <c r="C97" s="111">
        <v>45807</v>
      </c>
      <c r="D97" s="111"/>
      <c r="E97" s="14" t="s">
        <v>400</v>
      </c>
      <c r="F97" s="82" t="s">
        <v>490</v>
      </c>
      <c r="G97" s="65"/>
      <c r="H97" s="65"/>
      <c r="I97" s="17" t="s">
        <v>84</v>
      </c>
      <c r="J97" s="135"/>
      <c r="K97" s="114" t="s">
        <v>110</v>
      </c>
      <c r="L97" s="69" t="s">
        <v>271</v>
      </c>
      <c r="M97" s="14"/>
      <c r="N97" s="14"/>
    </row>
    <row r="98" spans="2:14" ht="30" x14ac:dyDescent="0.25">
      <c r="B98" s="64">
        <v>95</v>
      </c>
      <c r="C98" s="111">
        <v>45807</v>
      </c>
      <c r="D98" s="111"/>
      <c r="E98" s="14" t="s">
        <v>400</v>
      </c>
      <c r="F98" s="82" t="s">
        <v>491</v>
      </c>
      <c r="G98" s="65"/>
      <c r="H98" s="65"/>
      <c r="I98" s="17" t="s">
        <v>84</v>
      </c>
      <c r="J98" s="135"/>
      <c r="K98" s="114" t="s">
        <v>110</v>
      </c>
      <c r="L98" s="69" t="s">
        <v>271</v>
      </c>
      <c r="M98" s="14"/>
      <c r="N98" s="14"/>
    </row>
    <row r="99" spans="2:14" ht="30" x14ac:dyDescent="0.25">
      <c r="B99" s="64">
        <v>96</v>
      </c>
      <c r="C99" s="111">
        <v>45807</v>
      </c>
      <c r="D99" s="111"/>
      <c r="E99" s="14" t="s">
        <v>400</v>
      </c>
      <c r="F99" s="82" t="s">
        <v>492</v>
      </c>
      <c r="G99" s="65"/>
      <c r="H99" s="65"/>
      <c r="I99" s="17" t="s">
        <v>84</v>
      </c>
      <c r="J99" s="135"/>
      <c r="K99" s="114" t="s">
        <v>110</v>
      </c>
      <c r="L99" s="69" t="s">
        <v>271</v>
      </c>
      <c r="M99" s="14"/>
      <c r="N99" s="14"/>
    </row>
    <row r="100" spans="2:14" ht="30" x14ac:dyDescent="0.25">
      <c r="B100" s="64">
        <v>97</v>
      </c>
      <c r="C100" s="111">
        <v>45807</v>
      </c>
      <c r="D100" s="111"/>
      <c r="E100" s="14" t="s">
        <v>400</v>
      </c>
      <c r="F100" s="82" t="s">
        <v>493</v>
      </c>
      <c r="G100" s="65"/>
      <c r="H100" s="65"/>
      <c r="I100" s="17" t="s">
        <v>84</v>
      </c>
      <c r="J100" s="135"/>
      <c r="K100" s="114" t="s">
        <v>110</v>
      </c>
      <c r="L100" s="69" t="s">
        <v>271</v>
      </c>
      <c r="M100" s="14"/>
      <c r="N100" s="14"/>
    </row>
    <row r="101" spans="2:14" ht="30" x14ac:dyDescent="0.25">
      <c r="B101" s="64">
        <v>98</v>
      </c>
      <c r="C101" s="111">
        <v>45807</v>
      </c>
      <c r="D101" s="111"/>
      <c r="E101" s="14" t="s">
        <v>400</v>
      </c>
      <c r="F101" s="82" t="s">
        <v>494</v>
      </c>
      <c r="G101" s="65"/>
      <c r="H101" s="65"/>
      <c r="I101" s="17" t="s">
        <v>84</v>
      </c>
      <c r="J101" s="135"/>
      <c r="K101" s="114" t="s">
        <v>110</v>
      </c>
      <c r="L101" s="69" t="s">
        <v>271</v>
      </c>
      <c r="M101" s="14"/>
      <c r="N101" s="14"/>
    </row>
    <row r="102" spans="2:14" ht="30" x14ac:dyDescent="0.25">
      <c r="B102" s="64">
        <v>99</v>
      </c>
      <c r="C102" s="111">
        <v>45807</v>
      </c>
      <c r="D102" s="111"/>
      <c r="E102" s="14" t="s">
        <v>400</v>
      </c>
      <c r="F102" s="82" t="s">
        <v>495</v>
      </c>
      <c r="G102" s="65"/>
      <c r="H102" s="65"/>
      <c r="I102" s="17" t="s">
        <v>84</v>
      </c>
      <c r="J102" s="135"/>
      <c r="K102" s="114" t="s">
        <v>110</v>
      </c>
      <c r="L102" s="69" t="s">
        <v>271</v>
      </c>
      <c r="M102" s="14"/>
      <c r="N102" s="14"/>
    </row>
    <row r="103" spans="2:14" ht="60" x14ac:dyDescent="0.25">
      <c r="B103" s="64">
        <v>100</v>
      </c>
      <c r="C103" s="111">
        <v>45800</v>
      </c>
      <c r="D103" s="111"/>
      <c r="E103" s="14" t="s">
        <v>83</v>
      </c>
      <c r="F103" s="150" t="s">
        <v>314</v>
      </c>
      <c r="G103" s="65"/>
      <c r="H103" s="65"/>
      <c r="I103" s="65"/>
      <c r="J103" s="66"/>
      <c r="K103" s="114" t="s">
        <v>110</v>
      </c>
      <c r="L103" s="30" t="s">
        <v>179</v>
      </c>
      <c r="M103" s="14" t="s">
        <v>815</v>
      </c>
      <c r="N103" s="14" t="str">
        <f t="shared" ca="1" si="1"/>
        <v>11 months, 24 days</v>
      </c>
    </row>
    <row r="104" spans="2:14" ht="176.25" customHeight="1" x14ac:dyDescent="0.25">
      <c r="B104" s="64">
        <v>101</v>
      </c>
      <c r="C104" s="147">
        <v>45811</v>
      </c>
      <c r="D104" s="147"/>
      <c r="E104" s="19" t="s">
        <v>83</v>
      </c>
      <c r="F104" s="32" t="s">
        <v>333</v>
      </c>
      <c r="G104" s="148"/>
      <c r="H104" s="148"/>
      <c r="I104" s="17" t="s">
        <v>84</v>
      </c>
      <c r="J104" s="149"/>
      <c r="K104" s="67" t="s">
        <v>110</v>
      </c>
      <c r="L104" s="30" t="s">
        <v>179</v>
      </c>
      <c r="M104" s="19"/>
      <c r="N104" s="19"/>
    </row>
    <row r="105" spans="2:14" ht="220.5" x14ac:dyDescent="0.25">
      <c r="B105" s="64">
        <v>102</v>
      </c>
      <c r="C105" s="147">
        <v>45816</v>
      </c>
      <c r="D105" s="147"/>
      <c r="E105" s="19" t="s">
        <v>83</v>
      </c>
      <c r="F105" s="32" t="s">
        <v>355</v>
      </c>
      <c r="G105" s="148"/>
      <c r="H105" s="148"/>
      <c r="I105" s="17" t="s">
        <v>84</v>
      </c>
      <c r="J105" s="149"/>
      <c r="K105" s="67" t="s">
        <v>111</v>
      </c>
      <c r="L105" s="30" t="s">
        <v>179</v>
      </c>
      <c r="M105" s="19"/>
      <c r="N105" s="19" t="str">
        <f t="shared" ca="1" si="1"/>
        <v>11 months, 9 days</v>
      </c>
    </row>
    <row r="106" spans="2:14" ht="85.5" customHeight="1" x14ac:dyDescent="0.25">
      <c r="B106" s="64">
        <v>103</v>
      </c>
      <c r="C106" s="111">
        <v>45821</v>
      </c>
      <c r="D106" s="111"/>
      <c r="E106" s="14"/>
      <c r="F106" s="82" t="s">
        <v>354</v>
      </c>
      <c r="G106" s="65"/>
      <c r="H106" s="65"/>
      <c r="I106" s="17" t="s">
        <v>84</v>
      </c>
      <c r="J106" s="66"/>
      <c r="K106" s="145" t="s">
        <v>110</v>
      </c>
      <c r="L106" s="69" t="s">
        <v>98</v>
      </c>
      <c r="M106" s="14"/>
      <c r="N106" s="14"/>
    </row>
    <row r="107" spans="2:14" ht="105" x14ac:dyDescent="0.25">
      <c r="B107" s="64">
        <v>104</v>
      </c>
      <c r="C107" s="111">
        <v>45821</v>
      </c>
      <c r="D107" s="111"/>
      <c r="E107" s="14" t="s">
        <v>575</v>
      </c>
      <c r="F107" s="106" t="s">
        <v>578</v>
      </c>
      <c r="G107" s="17" t="s">
        <v>84</v>
      </c>
      <c r="H107" s="65"/>
      <c r="I107" s="17"/>
      <c r="J107" s="66"/>
      <c r="K107" s="145" t="s">
        <v>110</v>
      </c>
      <c r="L107" s="69" t="s">
        <v>319</v>
      </c>
      <c r="M107" s="14" t="s">
        <v>579</v>
      </c>
      <c r="N107" s="14"/>
    </row>
    <row r="108" spans="2:14" ht="60" x14ac:dyDescent="0.25">
      <c r="B108" s="64">
        <v>105</v>
      </c>
      <c r="C108" s="111">
        <v>45824</v>
      </c>
      <c r="D108" s="111"/>
      <c r="E108" s="14" t="s">
        <v>83</v>
      </c>
      <c r="F108" s="82" t="s">
        <v>331</v>
      </c>
      <c r="G108" s="65"/>
      <c r="H108" s="65"/>
      <c r="I108" s="17" t="s">
        <v>84</v>
      </c>
      <c r="J108" s="66"/>
      <c r="K108" s="145" t="s">
        <v>110</v>
      </c>
      <c r="L108" s="69" t="s">
        <v>179</v>
      </c>
      <c r="M108" s="14" t="s">
        <v>814</v>
      </c>
      <c r="N108" s="14" t="str">
        <f t="shared" ca="1" si="1"/>
        <v>11 months, 1 days</v>
      </c>
    </row>
    <row r="109" spans="2:14" ht="60" x14ac:dyDescent="0.25">
      <c r="B109" s="64">
        <v>106</v>
      </c>
      <c r="C109" s="111">
        <v>45835</v>
      </c>
      <c r="D109" s="111"/>
      <c r="E109" s="14" t="s">
        <v>83</v>
      </c>
      <c r="F109" s="184" t="s">
        <v>336</v>
      </c>
      <c r="G109" s="65"/>
      <c r="H109" s="65"/>
      <c r="I109" s="17" t="s">
        <v>84</v>
      </c>
      <c r="J109" s="66"/>
      <c r="K109" s="145" t="s">
        <v>110</v>
      </c>
      <c r="L109" s="69" t="s">
        <v>179</v>
      </c>
      <c r="M109" s="14"/>
      <c r="N109" s="14" t="str">
        <f t="shared" ca="1" si="1"/>
        <v>10 months, 20 days</v>
      </c>
    </row>
    <row r="110" spans="2:14" ht="31.5" x14ac:dyDescent="0.25">
      <c r="B110" s="64">
        <v>107</v>
      </c>
      <c r="C110" s="111">
        <v>45835</v>
      </c>
      <c r="D110" s="111"/>
      <c r="E110" s="14" t="s">
        <v>555</v>
      </c>
      <c r="F110" s="82" t="s">
        <v>338</v>
      </c>
      <c r="G110" s="65"/>
      <c r="H110" s="17" t="s">
        <v>84</v>
      </c>
      <c r="I110" s="65"/>
      <c r="J110" s="66"/>
      <c r="K110" s="145" t="s">
        <v>110</v>
      </c>
      <c r="L110" s="69" t="s">
        <v>202</v>
      </c>
      <c r="M110" s="14"/>
      <c r="N110" s="14" t="str">
        <f t="shared" ca="1" si="1"/>
        <v>10 months, 20 days</v>
      </c>
    </row>
    <row r="111" spans="2:14" ht="150" x14ac:dyDescent="0.25">
      <c r="B111" s="64">
        <v>108</v>
      </c>
      <c r="C111" s="111">
        <v>45836</v>
      </c>
      <c r="D111" s="111"/>
      <c r="E111" s="14" t="s">
        <v>83</v>
      </c>
      <c r="F111" s="82" t="s">
        <v>347</v>
      </c>
      <c r="G111" s="65"/>
      <c r="H111" s="65"/>
      <c r="I111" s="17" t="s">
        <v>84</v>
      </c>
      <c r="J111" s="66"/>
      <c r="K111" s="105" t="s">
        <v>91</v>
      </c>
      <c r="L111" s="30" t="s">
        <v>190</v>
      </c>
      <c r="M111" s="14"/>
      <c r="N111" s="14" t="str">
        <f t="shared" ca="1" si="1"/>
        <v>10 months, 19 days</v>
      </c>
    </row>
    <row r="112" spans="2:14" ht="45" x14ac:dyDescent="0.25">
      <c r="B112" s="64">
        <v>109</v>
      </c>
      <c r="C112" s="111">
        <v>45841</v>
      </c>
      <c r="D112" s="111"/>
      <c r="E112" s="14" t="s">
        <v>83</v>
      </c>
      <c r="F112" s="82" t="s">
        <v>350</v>
      </c>
      <c r="G112" s="65"/>
      <c r="H112" s="65"/>
      <c r="I112" s="17" t="s">
        <v>84</v>
      </c>
      <c r="J112" s="66"/>
      <c r="K112" s="108" t="s">
        <v>91</v>
      </c>
      <c r="L112" s="107" t="s">
        <v>96</v>
      </c>
      <c r="M112" s="14"/>
      <c r="N112" s="14" t="str">
        <f t="shared" ca="1" si="1"/>
        <v>10 months, 14 days</v>
      </c>
    </row>
    <row r="113" spans="2:14" ht="75" x14ac:dyDescent="0.25">
      <c r="B113" s="64">
        <v>110</v>
      </c>
      <c r="C113" s="111">
        <v>45841</v>
      </c>
      <c r="D113" s="111"/>
      <c r="E113" s="14" t="s">
        <v>83</v>
      </c>
      <c r="F113" s="82" t="s">
        <v>352</v>
      </c>
      <c r="G113" s="65"/>
      <c r="H113" s="65"/>
      <c r="I113" s="17" t="s">
        <v>84</v>
      </c>
      <c r="J113" s="66"/>
      <c r="K113" s="145" t="s">
        <v>110</v>
      </c>
      <c r="L113" s="30" t="s">
        <v>190</v>
      </c>
      <c r="M113" s="14"/>
      <c r="N113" s="14" t="str">
        <f t="shared" ca="1" si="1"/>
        <v>10 months, 14 days</v>
      </c>
    </row>
    <row r="114" spans="2:14" ht="75" x14ac:dyDescent="0.25">
      <c r="B114" s="64">
        <v>111</v>
      </c>
      <c r="C114" s="111">
        <v>45848</v>
      </c>
      <c r="D114" s="111"/>
      <c r="E114" s="14" t="s">
        <v>360</v>
      </c>
      <c r="F114" s="77" t="s">
        <v>387</v>
      </c>
      <c r="G114" s="65"/>
      <c r="H114" s="65"/>
      <c r="I114" s="17" t="s">
        <v>84</v>
      </c>
      <c r="J114" s="66"/>
      <c r="K114" s="145" t="s">
        <v>110</v>
      </c>
      <c r="L114" s="30" t="s">
        <v>141</v>
      </c>
      <c r="M114" s="14" t="s">
        <v>824</v>
      </c>
      <c r="N114" s="14" t="str">
        <f t="shared" ca="1" si="1"/>
        <v>10 months, 7 days</v>
      </c>
    </row>
    <row r="115" spans="2:14" ht="75" x14ac:dyDescent="0.25">
      <c r="B115" s="64">
        <v>112</v>
      </c>
      <c r="C115" s="111">
        <v>45848</v>
      </c>
      <c r="D115" s="111"/>
      <c r="E115" s="14" t="s">
        <v>360</v>
      </c>
      <c r="F115" s="30" t="s">
        <v>390</v>
      </c>
      <c r="G115" s="65"/>
      <c r="H115" s="65"/>
      <c r="I115" s="17" t="s">
        <v>84</v>
      </c>
      <c r="J115" s="66"/>
      <c r="K115" s="145" t="s">
        <v>110</v>
      </c>
      <c r="L115" s="30" t="s">
        <v>141</v>
      </c>
      <c r="M115" s="14" t="s">
        <v>824</v>
      </c>
      <c r="N115" s="14"/>
    </row>
    <row r="116" spans="2:14" ht="31.5" x14ac:dyDescent="0.25">
      <c r="B116" s="64">
        <v>113</v>
      </c>
      <c r="C116" s="111">
        <v>45848</v>
      </c>
      <c r="D116" s="111"/>
      <c r="E116" s="14" t="s">
        <v>360</v>
      </c>
      <c r="F116" s="77" t="s">
        <v>391</v>
      </c>
      <c r="G116" s="65"/>
      <c r="H116" s="65"/>
      <c r="I116" s="17" t="s">
        <v>84</v>
      </c>
      <c r="J116" s="66"/>
      <c r="K116" s="105" t="s">
        <v>91</v>
      </c>
      <c r="L116" s="30" t="s">
        <v>389</v>
      </c>
      <c r="M116" s="14"/>
      <c r="N116" s="14"/>
    </row>
    <row r="117" spans="2:14" ht="75" x14ac:dyDescent="0.25">
      <c r="B117" s="64">
        <v>114</v>
      </c>
      <c r="C117" s="111">
        <v>45848</v>
      </c>
      <c r="D117" s="111"/>
      <c r="E117" s="14" t="s">
        <v>360</v>
      </c>
      <c r="F117" s="80" t="s">
        <v>392</v>
      </c>
      <c r="G117" s="65"/>
      <c r="H117" s="65"/>
      <c r="I117" s="17" t="s">
        <v>84</v>
      </c>
      <c r="J117" s="66"/>
      <c r="K117" s="145" t="s">
        <v>110</v>
      </c>
      <c r="L117" s="30" t="s">
        <v>202</v>
      </c>
      <c r="M117" s="14" t="s">
        <v>810</v>
      </c>
      <c r="N117" s="14"/>
    </row>
    <row r="118" spans="2:14" ht="72" customHeight="1" x14ac:dyDescent="0.25">
      <c r="B118" s="64">
        <v>115</v>
      </c>
      <c r="C118" s="111">
        <v>45848</v>
      </c>
      <c r="D118" s="111"/>
      <c r="E118" s="14" t="s">
        <v>360</v>
      </c>
      <c r="F118" s="30" t="s">
        <v>393</v>
      </c>
      <c r="G118" s="65"/>
      <c r="H118" s="65"/>
      <c r="I118" s="17" t="s">
        <v>84</v>
      </c>
      <c r="J118" s="66"/>
      <c r="K118" s="145" t="s">
        <v>110</v>
      </c>
      <c r="L118" s="30" t="s">
        <v>202</v>
      </c>
      <c r="M118" s="14" t="s">
        <v>810</v>
      </c>
      <c r="N118" s="14"/>
    </row>
    <row r="119" spans="2:14" ht="75" x14ac:dyDescent="0.25">
      <c r="B119" s="64">
        <v>116</v>
      </c>
      <c r="C119" s="111">
        <v>45848</v>
      </c>
      <c r="D119" s="111"/>
      <c r="E119" s="14" t="s">
        <v>360</v>
      </c>
      <c r="F119" s="25" t="s">
        <v>364</v>
      </c>
      <c r="G119" s="65"/>
      <c r="H119" s="65"/>
      <c r="I119" s="17" t="s">
        <v>84</v>
      </c>
      <c r="J119" s="66"/>
      <c r="K119" s="145" t="s">
        <v>110</v>
      </c>
      <c r="L119" s="30" t="s">
        <v>202</v>
      </c>
      <c r="M119" s="14" t="s">
        <v>810</v>
      </c>
      <c r="N119" s="14"/>
    </row>
    <row r="120" spans="2:14" ht="52.5" customHeight="1" x14ac:dyDescent="0.25">
      <c r="B120" s="64">
        <v>117</v>
      </c>
      <c r="C120" s="111">
        <v>45848</v>
      </c>
      <c r="D120" s="111"/>
      <c r="E120" s="14" t="s">
        <v>360</v>
      </c>
      <c r="F120" s="77" t="s">
        <v>363</v>
      </c>
      <c r="G120" s="65"/>
      <c r="H120" s="65"/>
      <c r="I120" s="17" t="s">
        <v>84</v>
      </c>
      <c r="J120" s="66"/>
      <c r="K120" s="145" t="s">
        <v>110</v>
      </c>
      <c r="L120" s="30" t="s">
        <v>202</v>
      </c>
      <c r="M120" s="14" t="s">
        <v>810</v>
      </c>
      <c r="N120" s="14"/>
    </row>
    <row r="121" spans="2:14" ht="75" x14ac:dyDescent="0.25">
      <c r="B121" s="64">
        <v>118</v>
      </c>
      <c r="C121" s="111">
        <v>45848</v>
      </c>
      <c r="D121" s="111"/>
      <c r="E121" s="14" t="s">
        <v>360</v>
      </c>
      <c r="F121" s="77" t="s">
        <v>365</v>
      </c>
      <c r="G121" s="65"/>
      <c r="H121" s="65"/>
      <c r="I121" s="17" t="s">
        <v>84</v>
      </c>
      <c r="J121" s="66"/>
      <c r="K121" s="145" t="s">
        <v>110</v>
      </c>
      <c r="L121" s="30" t="s">
        <v>394</v>
      </c>
      <c r="M121" s="14" t="s">
        <v>827</v>
      </c>
      <c r="N121" s="14"/>
    </row>
    <row r="122" spans="2:14" ht="75" x14ac:dyDescent="0.25">
      <c r="B122" s="64">
        <v>119</v>
      </c>
      <c r="C122" s="111">
        <v>45848</v>
      </c>
      <c r="D122" s="111"/>
      <c r="E122" s="14" t="s">
        <v>360</v>
      </c>
      <c r="F122" s="77" t="s">
        <v>367</v>
      </c>
      <c r="G122" s="65"/>
      <c r="H122" s="65"/>
      <c r="I122" s="17" t="s">
        <v>84</v>
      </c>
      <c r="J122" s="66"/>
      <c r="K122" s="145" t="s">
        <v>110</v>
      </c>
      <c r="L122" s="30" t="s">
        <v>202</v>
      </c>
      <c r="M122" s="14" t="s">
        <v>810</v>
      </c>
      <c r="N122" s="14"/>
    </row>
    <row r="123" spans="2:14" ht="87.75" customHeight="1" x14ac:dyDescent="0.25">
      <c r="B123" s="64">
        <v>120</v>
      </c>
      <c r="C123" s="111">
        <v>45848</v>
      </c>
      <c r="D123" s="111"/>
      <c r="E123" s="14" t="s">
        <v>360</v>
      </c>
      <c r="F123" s="30" t="s">
        <v>379</v>
      </c>
      <c r="G123" s="65"/>
      <c r="H123" s="65"/>
      <c r="I123" s="17" t="s">
        <v>84</v>
      </c>
      <c r="J123" s="66"/>
      <c r="K123" s="145" t="s">
        <v>110</v>
      </c>
      <c r="L123" s="30" t="s">
        <v>395</v>
      </c>
      <c r="M123" s="44" t="s">
        <v>807</v>
      </c>
      <c r="N123" s="14"/>
    </row>
    <row r="124" spans="2:14" ht="31.5" x14ac:dyDescent="0.25">
      <c r="B124" s="64">
        <v>121</v>
      </c>
      <c r="C124" s="111">
        <v>45848</v>
      </c>
      <c r="D124" s="111"/>
      <c r="E124" s="14" t="s">
        <v>360</v>
      </c>
      <c r="F124" s="79" t="s">
        <v>366</v>
      </c>
      <c r="G124" s="65"/>
      <c r="H124" s="65"/>
      <c r="I124" s="17" t="s">
        <v>84</v>
      </c>
      <c r="J124" s="66"/>
      <c r="K124" s="145" t="s">
        <v>110</v>
      </c>
      <c r="L124" s="30" t="s">
        <v>396</v>
      </c>
      <c r="M124" s="14"/>
      <c r="N124" s="14"/>
    </row>
    <row r="125" spans="2:14" ht="31.5" x14ac:dyDescent="0.25">
      <c r="B125" s="64">
        <v>122</v>
      </c>
      <c r="C125" s="111">
        <v>45848</v>
      </c>
      <c r="D125" s="111"/>
      <c r="E125" s="14" t="s">
        <v>360</v>
      </c>
      <c r="F125" s="30" t="s">
        <v>368</v>
      </c>
      <c r="G125" s="65"/>
      <c r="H125" s="65"/>
      <c r="I125" s="17" t="s">
        <v>84</v>
      </c>
      <c r="J125" s="66"/>
      <c r="K125" s="145" t="s">
        <v>110</v>
      </c>
      <c r="L125" s="30" t="s">
        <v>396</v>
      </c>
      <c r="M125" s="14"/>
      <c r="N125" s="14"/>
    </row>
    <row r="126" spans="2:14" ht="31.5" x14ac:dyDescent="0.25">
      <c r="B126" s="64">
        <v>123</v>
      </c>
      <c r="C126" s="111">
        <v>45848</v>
      </c>
      <c r="D126" s="111"/>
      <c r="E126" s="14" t="s">
        <v>360</v>
      </c>
      <c r="F126" s="69" t="s">
        <v>369</v>
      </c>
      <c r="G126" s="65"/>
      <c r="H126" s="65"/>
      <c r="I126" s="17" t="s">
        <v>84</v>
      </c>
      <c r="J126" s="66"/>
      <c r="K126" s="145" t="s">
        <v>110</v>
      </c>
      <c r="L126" s="30" t="s">
        <v>396</v>
      </c>
      <c r="M126" s="14"/>
      <c r="N126" s="14"/>
    </row>
    <row r="127" spans="2:14" ht="31.5" x14ac:dyDescent="0.25">
      <c r="B127" s="64">
        <v>124</v>
      </c>
      <c r="C127" s="111">
        <v>45848</v>
      </c>
      <c r="D127" s="111"/>
      <c r="E127" s="14" t="s">
        <v>360</v>
      </c>
      <c r="F127" s="30" t="s">
        <v>370</v>
      </c>
      <c r="G127" s="65"/>
      <c r="H127" s="65"/>
      <c r="I127" s="17" t="s">
        <v>84</v>
      </c>
      <c r="J127" s="66"/>
      <c r="K127" s="145" t="s">
        <v>110</v>
      </c>
      <c r="L127" s="30" t="s">
        <v>396</v>
      </c>
      <c r="M127" s="14"/>
      <c r="N127" s="14"/>
    </row>
    <row r="128" spans="2:14" ht="31.5" x14ac:dyDescent="0.25">
      <c r="B128" s="64">
        <v>125</v>
      </c>
      <c r="C128" s="111">
        <v>45848</v>
      </c>
      <c r="D128" s="111"/>
      <c r="E128" s="14" t="s">
        <v>360</v>
      </c>
      <c r="F128" s="30" t="s">
        <v>371</v>
      </c>
      <c r="G128" s="65"/>
      <c r="H128" s="65"/>
      <c r="I128" s="17" t="s">
        <v>84</v>
      </c>
      <c r="J128" s="66"/>
      <c r="K128" s="145" t="s">
        <v>110</v>
      </c>
      <c r="L128" s="30" t="s">
        <v>176</v>
      </c>
      <c r="M128" s="14"/>
      <c r="N128" s="14"/>
    </row>
    <row r="129" spans="1:14" ht="47.25" x14ac:dyDescent="0.25">
      <c r="B129" s="64">
        <v>126</v>
      </c>
      <c r="C129" s="111">
        <v>45848</v>
      </c>
      <c r="D129" s="111"/>
      <c r="E129" s="14" t="s">
        <v>360</v>
      </c>
      <c r="F129" s="30" t="s">
        <v>376</v>
      </c>
      <c r="G129" s="65"/>
      <c r="H129" s="65"/>
      <c r="I129" s="17" t="s">
        <v>84</v>
      </c>
      <c r="J129" s="66"/>
      <c r="K129" s="145" t="s">
        <v>110</v>
      </c>
      <c r="L129" s="30" t="s">
        <v>176</v>
      </c>
      <c r="M129" s="14"/>
      <c r="N129" s="14"/>
    </row>
    <row r="130" spans="1:14" ht="31.5" x14ac:dyDescent="0.25">
      <c r="B130" s="64">
        <v>127</v>
      </c>
      <c r="C130" s="111">
        <v>45848</v>
      </c>
      <c r="D130" s="111"/>
      <c r="E130" s="14" t="s">
        <v>360</v>
      </c>
      <c r="F130" s="139" t="s">
        <v>372</v>
      </c>
      <c r="G130" s="65"/>
      <c r="H130" s="65"/>
      <c r="I130" s="17" t="s">
        <v>84</v>
      </c>
      <c r="J130" s="66"/>
      <c r="K130" s="145" t="s">
        <v>110</v>
      </c>
      <c r="L130" s="30" t="s">
        <v>176</v>
      </c>
      <c r="M130" s="14"/>
      <c r="N130" s="14"/>
    </row>
    <row r="131" spans="1:14" ht="60" customHeight="1" x14ac:dyDescent="0.25">
      <c r="B131" s="64">
        <v>128</v>
      </c>
      <c r="C131" s="111">
        <v>45848</v>
      </c>
      <c r="D131" s="111"/>
      <c r="E131" s="14" t="s">
        <v>360</v>
      </c>
      <c r="F131" s="139" t="s">
        <v>397</v>
      </c>
      <c r="G131" s="65"/>
      <c r="H131" s="65"/>
      <c r="I131" s="17" t="s">
        <v>84</v>
      </c>
      <c r="J131" s="66"/>
      <c r="K131" s="145" t="s">
        <v>110</v>
      </c>
      <c r="L131" s="30" t="s">
        <v>176</v>
      </c>
      <c r="M131" s="14" t="s">
        <v>821</v>
      </c>
      <c r="N131" s="14"/>
    </row>
    <row r="132" spans="1:14" ht="41.25" customHeight="1" x14ac:dyDescent="0.25">
      <c r="B132" s="64">
        <v>129</v>
      </c>
      <c r="C132" s="111">
        <v>45848</v>
      </c>
      <c r="D132" s="111"/>
      <c r="E132" s="14" t="s">
        <v>360</v>
      </c>
      <c r="F132" s="140" t="s">
        <v>374</v>
      </c>
      <c r="G132" s="65"/>
      <c r="H132" s="65"/>
      <c r="I132" s="17" t="s">
        <v>84</v>
      </c>
      <c r="J132" s="66"/>
      <c r="K132" s="105" t="s">
        <v>388</v>
      </c>
      <c r="L132" s="30" t="s">
        <v>176</v>
      </c>
      <c r="M132" s="14"/>
      <c r="N132" s="14"/>
    </row>
    <row r="133" spans="1:14" ht="51" customHeight="1" x14ac:dyDescent="0.25">
      <c r="B133" s="64">
        <v>130</v>
      </c>
      <c r="C133" s="111">
        <v>45848</v>
      </c>
      <c r="D133" s="111"/>
      <c r="E133" s="14" t="s">
        <v>360</v>
      </c>
      <c r="F133" s="79" t="s">
        <v>377</v>
      </c>
      <c r="G133" s="65"/>
      <c r="H133" s="65"/>
      <c r="I133" s="17" t="s">
        <v>84</v>
      </c>
      <c r="J133" s="66"/>
      <c r="K133" s="105" t="s">
        <v>388</v>
      </c>
      <c r="L133" s="30" t="s">
        <v>394</v>
      </c>
      <c r="M133" s="14"/>
      <c r="N133" s="14"/>
    </row>
    <row r="134" spans="1:14" ht="51" customHeight="1" x14ac:dyDescent="0.25">
      <c r="B134" s="64">
        <v>131</v>
      </c>
      <c r="C134" s="111">
        <v>45848</v>
      </c>
      <c r="D134" s="111"/>
      <c r="E134" s="14" t="s">
        <v>360</v>
      </c>
      <c r="F134" s="182" t="s">
        <v>380</v>
      </c>
      <c r="G134" s="65"/>
      <c r="H134" s="65"/>
      <c r="I134" s="17" t="s">
        <v>84</v>
      </c>
      <c r="J134" s="66"/>
      <c r="K134" s="67" t="s">
        <v>111</v>
      </c>
      <c r="L134" s="69" t="s">
        <v>275</v>
      </c>
      <c r="M134" s="14" t="s">
        <v>814</v>
      </c>
      <c r="N134" s="14"/>
    </row>
    <row r="135" spans="1:14" ht="67.5" customHeight="1" x14ac:dyDescent="0.25">
      <c r="B135" s="64">
        <v>132</v>
      </c>
      <c r="C135" s="111">
        <v>45848</v>
      </c>
      <c r="D135" s="111"/>
      <c r="E135" s="14" t="s">
        <v>360</v>
      </c>
      <c r="F135" s="77" t="s">
        <v>381</v>
      </c>
      <c r="G135" s="65"/>
      <c r="H135" s="65"/>
      <c r="I135" s="17" t="s">
        <v>84</v>
      </c>
      <c r="J135" s="66"/>
      <c r="K135" s="67" t="s">
        <v>111</v>
      </c>
      <c r="L135" s="30" t="s">
        <v>176</v>
      </c>
      <c r="M135" s="14" t="s">
        <v>824</v>
      </c>
      <c r="N135" s="14"/>
    </row>
    <row r="136" spans="1:14" ht="64.5" customHeight="1" x14ac:dyDescent="0.25">
      <c r="B136" s="64">
        <v>133</v>
      </c>
      <c r="C136" s="111">
        <v>45848</v>
      </c>
      <c r="D136" s="111"/>
      <c r="E136" s="14" t="s">
        <v>360</v>
      </c>
      <c r="F136" s="142" t="s">
        <v>378</v>
      </c>
      <c r="G136" s="65"/>
      <c r="H136" s="65"/>
      <c r="I136" s="17" t="s">
        <v>84</v>
      </c>
      <c r="J136" s="66"/>
      <c r="K136" s="67" t="s">
        <v>111</v>
      </c>
      <c r="L136" s="30" t="s">
        <v>179</v>
      </c>
      <c r="M136" s="14" t="s">
        <v>814</v>
      </c>
      <c r="N136" s="14"/>
    </row>
    <row r="137" spans="1:14" ht="64.5" customHeight="1" x14ac:dyDescent="0.25">
      <c r="A137" s="9">
        <f ca="1">A137:N137</f>
        <v>0</v>
      </c>
      <c r="B137" s="64">
        <v>134</v>
      </c>
      <c r="C137" s="111">
        <v>45848</v>
      </c>
      <c r="D137" s="111"/>
      <c r="E137" s="14" t="s">
        <v>360</v>
      </c>
      <c r="F137" s="30" t="s">
        <v>386</v>
      </c>
      <c r="G137" s="65"/>
      <c r="H137" s="65"/>
      <c r="I137" s="17" t="s">
        <v>84</v>
      </c>
      <c r="J137" s="66"/>
      <c r="K137" s="105" t="s">
        <v>388</v>
      </c>
      <c r="L137" s="30" t="s">
        <v>176</v>
      </c>
      <c r="M137" s="14"/>
      <c r="N137" s="14"/>
    </row>
    <row r="138" spans="1:14" ht="64.5" customHeight="1" x14ac:dyDescent="0.25">
      <c r="B138" s="64">
        <v>135</v>
      </c>
      <c r="C138" s="111">
        <v>45848</v>
      </c>
      <c r="D138" s="111"/>
      <c r="E138" s="14" t="s">
        <v>360</v>
      </c>
      <c r="F138" s="80" t="s">
        <v>382</v>
      </c>
      <c r="G138" s="65"/>
      <c r="H138" s="65"/>
      <c r="I138" s="17" t="s">
        <v>84</v>
      </c>
      <c r="J138" s="66"/>
      <c r="K138" s="105" t="s">
        <v>388</v>
      </c>
      <c r="L138" s="30" t="s">
        <v>394</v>
      </c>
      <c r="M138" s="14"/>
      <c r="N138" s="14"/>
    </row>
    <row r="139" spans="1:14" ht="95.25" customHeight="1" x14ac:dyDescent="0.25">
      <c r="B139" s="64">
        <v>136</v>
      </c>
      <c r="C139" s="111">
        <v>45848</v>
      </c>
      <c r="D139" s="111"/>
      <c r="E139" s="14" t="s">
        <v>360</v>
      </c>
      <c r="F139" s="30" t="s">
        <v>383</v>
      </c>
      <c r="G139" s="65"/>
      <c r="H139" s="65"/>
      <c r="I139" s="17" t="s">
        <v>84</v>
      </c>
      <c r="J139" s="66"/>
      <c r="K139" s="67" t="s">
        <v>111</v>
      </c>
      <c r="L139" s="30" t="s">
        <v>271</v>
      </c>
      <c r="M139" s="14" t="s">
        <v>467</v>
      </c>
      <c r="N139" s="14"/>
    </row>
    <row r="140" spans="1:14" ht="64.5" customHeight="1" x14ac:dyDescent="0.25">
      <c r="B140" s="64">
        <v>137</v>
      </c>
      <c r="C140" s="111">
        <v>45848</v>
      </c>
      <c r="D140" s="111"/>
      <c r="E140" s="14" t="s">
        <v>360</v>
      </c>
      <c r="F140" s="25" t="s">
        <v>385</v>
      </c>
      <c r="G140" s="65"/>
      <c r="H140" s="65"/>
      <c r="I140" s="17" t="s">
        <v>84</v>
      </c>
      <c r="J140" s="66"/>
      <c r="K140" s="67" t="s">
        <v>111</v>
      </c>
      <c r="L140" s="30" t="s">
        <v>176</v>
      </c>
      <c r="M140" s="14"/>
      <c r="N140" s="14"/>
    </row>
    <row r="141" spans="1:14" ht="64.5" customHeight="1" x14ac:dyDescent="0.25">
      <c r="B141" s="64">
        <v>138</v>
      </c>
      <c r="C141" s="111">
        <v>45848</v>
      </c>
      <c r="D141" s="111"/>
      <c r="E141" s="14" t="s">
        <v>360</v>
      </c>
      <c r="F141" s="30" t="s">
        <v>398</v>
      </c>
      <c r="G141" s="65"/>
      <c r="H141" s="65"/>
      <c r="I141" s="17" t="s">
        <v>84</v>
      </c>
      <c r="J141" s="66"/>
      <c r="K141" s="145" t="s">
        <v>110</v>
      </c>
      <c r="L141" s="30" t="s">
        <v>202</v>
      </c>
      <c r="M141" s="14" t="s">
        <v>810</v>
      </c>
      <c r="N141" s="14"/>
    </row>
    <row r="142" spans="1:14" ht="60" customHeight="1" x14ac:dyDescent="0.25">
      <c r="B142" s="64">
        <v>139</v>
      </c>
      <c r="C142" s="111">
        <v>45848</v>
      </c>
      <c r="D142" s="111"/>
      <c r="E142" s="14" t="s">
        <v>360</v>
      </c>
      <c r="F142" s="79" t="s">
        <v>375</v>
      </c>
      <c r="G142" s="65"/>
      <c r="H142" s="65"/>
      <c r="I142" s="17" t="s">
        <v>84</v>
      </c>
      <c r="J142" s="66"/>
      <c r="K142" s="67" t="s">
        <v>111</v>
      </c>
      <c r="L142" s="30" t="s">
        <v>176</v>
      </c>
      <c r="M142" s="14"/>
      <c r="N142" s="14"/>
    </row>
    <row r="143" spans="1:14" ht="75" x14ac:dyDescent="0.25">
      <c r="B143" s="64">
        <v>140</v>
      </c>
      <c r="C143" s="111">
        <v>45848</v>
      </c>
      <c r="D143" s="111"/>
      <c r="E143" s="14" t="s">
        <v>360</v>
      </c>
      <c r="F143" s="138" t="s">
        <v>361</v>
      </c>
      <c r="G143" s="65"/>
      <c r="H143" s="65"/>
      <c r="I143" s="17" t="s">
        <v>84</v>
      </c>
      <c r="J143" s="66"/>
      <c r="K143" s="145" t="s">
        <v>110</v>
      </c>
      <c r="L143" s="30" t="s">
        <v>202</v>
      </c>
      <c r="M143" s="14" t="s">
        <v>810</v>
      </c>
      <c r="N143" s="14"/>
    </row>
    <row r="144" spans="1:14" ht="30" x14ac:dyDescent="0.25">
      <c r="B144" s="64">
        <v>141</v>
      </c>
      <c r="C144" s="111">
        <v>45852</v>
      </c>
      <c r="D144" s="111"/>
      <c r="E144" s="14" t="s">
        <v>228</v>
      </c>
      <c r="F144" s="82" t="s">
        <v>356</v>
      </c>
      <c r="G144" s="17" t="s">
        <v>84</v>
      </c>
      <c r="H144" s="65"/>
      <c r="I144" s="65"/>
      <c r="J144" s="66"/>
      <c r="K144" s="145" t="s">
        <v>110</v>
      </c>
      <c r="L144" s="69" t="s">
        <v>158</v>
      </c>
      <c r="M144" s="14"/>
      <c r="N144" s="14" t="str">
        <f t="shared" ca="1" si="1"/>
        <v>10 months, 3 days</v>
      </c>
    </row>
    <row r="145" spans="2:14" ht="75" x14ac:dyDescent="0.25">
      <c r="B145" s="64">
        <v>142</v>
      </c>
      <c r="C145" s="111">
        <v>45855</v>
      </c>
      <c r="D145" s="111"/>
      <c r="E145" s="14" t="s">
        <v>553</v>
      </c>
      <c r="F145" s="82" t="s">
        <v>554</v>
      </c>
      <c r="G145" s="135"/>
      <c r="H145" s="65"/>
      <c r="I145" s="17" t="s">
        <v>84</v>
      </c>
      <c r="J145" s="66"/>
      <c r="K145" s="67" t="s">
        <v>111</v>
      </c>
      <c r="L145" s="69" t="s">
        <v>526</v>
      </c>
      <c r="M145" s="14" t="s">
        <v>819</v>
      </c>
      <c r="N145" s="14"/>
    </row>
    <row r="146" spans="2:14" ht="30" x14ac:dyDescent="0.25">
      <c r="B146" s="64">
        <v>143</v>
      </c>
      <c r="C146" s="111">
        <v>45856</v>
      </c>
      <c r="D146" s="111"/>
      <c r="E146" s="14" t="s">
        <v>83</v>
      </c>
      <c r="F146" s="44" t="s">
        <v>399</v>
      </c>
      <c r="G146" s="65"/>
      <c r="H146" s="65"/>
      <c r="I146" s="17" t="s">
        <v>84</v>
      </c>
      <c r="J146" s="66"/>
      <c r="K146" s="67" t="s">
        <v>111</v>
      </c>
      <c r="L146" s="69" t="s">
        <v>271</v>
      </c>
      <c r="M146" s="14"/>
      <c r="N146" s="14"/>
    </row>
    <row r="147" spans="2:14" ht="75" x14ac:dyDescent="0.25">
      <c r="B147" s="64">
        <v>144</v>
      </c>
      <c r="C147" s="111">
        <v>45861</v>
      </c>
      <c r="D147" s="111"/>
      <c r="E147" s="14" t="s">
        <v>83</v>
      </c>
      <c r="F147" s="44" t="s">
        <v>465</v>
      </c>
      <c r="G147" s="65"/>
      <c r="H147" s="65"/>
      <c r="I147" s="17" t="s">
        <v>84</v>
      </c>
      <c r="J147" s="66"/>
      <c r="K147" s="145" t="s">
        <v>110</v>
      </c>
      <c r="L147" s="29" t="s">
        <v>563</v>
      </c>
      <c r="M147" s="14"/>
      <c r="N147" s="14"/>
    </row>
    <row r="148" spans="2:14" ht="30" x14ac:dyDescent="0.25">
      <c r="B148" s="64">
        <v>145</v>
      </c>
      <c r="C148" s="147">
        <v>45861</v>
      </c>
      <c r="D148" s="111"/>
      <c r="E148" s="14" t="s">
        <v>228</v>
      </c>
      <c r="F148" s="44" t="s">
        <v>474</v>
      </c>
      <c r="G148" s="17" t="s">
        <v>84</v>
      </c>
      <c r="H148" s="65"/>
      <c r="I148" s="17"/>
      <c r="J148" s="66"/>
      <c r="K148" s="153" t="s">
        <v>91</v>
      </c>
      <c r="L148" s="152" t="s">
        <v>477</v>
      </c>
      <c r="M148" s="14"/>
      <c r="N148" s="14"/>
    </row>
    <row r="149" spans="2:14" ht="47.25" x14ac:dyDescent="0.25">
      <c r="B149" s="64">
        <v>146</v>
      </c>
      <c r="C149" s="147">
        <v>45862</v>
      </c>
      <c r="D149" s="111"/>
      <c r="E149" s="14" t="s">
        <v>633</v>
      </c>
      <c r="F149" s="32" t="s">
        <v>632</v>
      </c>
      <c r="G149" s="17"/>
      <c r="H149" s="65"/>
      <c r="I149" s="17" t="s">
        <v>84</v>
      </c>
      <c r="J149" s="66"/>
      <c r="K149" s="105" t="s">
        <v>91</v>
      </c>
      <c r="L149" s="29" t="s">
        <v>129</v>
      </c>
      <c r="M149" s="179" t="s">
        <v>826</v>
      </c>
      <c r="N149" s="14"/>
    </row>
    <row r="150" spans="2:14" ht="60" x14ac:dyDescent="0.25">
      <c r="B150" s="64">
        <v>147</v>
      </c>
      <c r="C150" s="147">
        <v>45862</v>
      </c>
      <c r="D150" s="111"/>
      <c r="E150" s="14" t="s">
        <v>633</v>
      </c>
      <c r="F150" s="32" t="s">
        <v>634</v>
      </c>
      <c r="G150" s="17"/>
      <c r="H150" s="65"/>
      <c r="I150" s="17" t="s">
        <v>84</v>
      </c>
      <c r="J150" s="66"/>
      <c r="K150" s="145" t="s">
        <v>110</v>
      </c>
      <c r="L150" s="29" t="s">
        <v>129</v>
      </c>
      <c r="M150" s="14"/>
      <c r="N150" s="14" t="s">
        <v>820</v>
      </c>
    </row>
    <row r="151" spans="2:14" ht="63" x14ac:dyDescent="0.25">
      <c r="B151" s="64">
        <v>148</v>
      </c>
      <c r="C151" s="147">
        <v>45862</v>
      </c>
      <c r="D151" s="111"/>
      <c r="E151" s="14" t="s">
        <v>633</v>
      </c>
      <c r="F151" s="32" t="s">
        <v>635</v>
      </c>
      <c r="G151" s="17"/>
      <c r="H151" s="65"/>
      <c r="I151" s="17" t="s">
        <v>84</v>
      </c>
      <c r="J151" s="66"/>
      <c r="K151" s="105" t="s">
        <v>91</v>
      </c>
      <c r="L151" s="29" t="s">
        <v>129</v>
      </c>
      <c r="M151" s="179" t="s">
        <v>826</v>
      </c>
      <c r="N151" s="14"/>
    </row>
    <row r="152" spans="2:14" ht="45" x14ac:dyDescent="0.25">
      <c r="B152" s="64">
        <v>149</v>
      </c>
      <c r="C152" s="147">
        <v>45862</v>
      </c>
      <c r="D152" s="111"/>
      <c r="E152" s="14" t="s">
        <v>633</v>
      </c>
      <c r="F152" s="79" t="s">
        <v>636</v>
      </c>
      <c r="G152" s="17"/>
      <c r="H152" s="65"/>
      <c r="I152" s="17" t="s">
        <v>84</v>
      </c>
      <c r="J152" s="66"/>
      <c r="K152" s="145" t="s">
        <v>110</v>
      </c>
      <c r="L152" s="29" t="s">
        <v>129</v>
      </c>
      <c r="M152" s="14"/>
      <c r="N152" s="40" t="s">
        <v>801</v>
      </c>
    </row>
    <row r="153" spans="2:14" ht="63" x14ac:dyDescent="0.25">
      <c r="B153" s="64">
        <v>150</v>
      </c>
      <c r="C153" s="147">
        <v>45862</v>
      </c>
      <c r="D153" s="111"/>
      <c r="E153" s="14" t="s">
        <v>633</v>
      </c>
      <c r="F153" s="32" t="s">
        <v>637</v>
      </c>
      <c r="G153" s="17"/>
      <c r="H153" s="65"/>
      <c r="I153" s="17" t="s">
        <v>84</v>
      </c>
      <c r="J153" s="66"/>
      <c r="K153" s="105" t="s">
        <v>91</v>
      </c>
      <c r="L153" s="29" t="s">
        <v>129</v>
      </c>
      <c r="M153" s="179" t="s">
        <v>826</v>
      </c>
      <c r="N153" s="14"/>
    </row>
    <row r="154" spans="2:14" ht="53.25" customHeight="1" x14ac:dyDescent="0.25">
      <c r="B154" s="64">
        <v>151</v>
      </c>
      <c r="C154" s="147">
        <v>45862</v>
      </c>
      <c r="D154" s="111"/>
      <c r="E154" s="14" t="s">
        <v>633</v>
      </c>
      <c r="F154" s="32" t="s">
        <v>638</v>
      </c>
      <c r="G154" s="17"/>
      <c r="H154" s="65"/>
      <c r="I154" s="17" t="s">
        <v>84</v>
      </c>
      <c r="J154" s="66"/>
      <c r="K154" s="105" t="s">
        <v>91</v>
      </c>
      <c r="L154" s="29" t="s">
        <v>129</v>
      </c>
      <c r="M154" s="14"/>
      <c r="N154" s="14"/>
    </row>
    <row r="155" spans="2:14" ht="47.25" x14ac:dyDescent="0.25">
      <c r="B155" s="64">
        <v>152</v>
      </c>
      <c r="C155" s="147">
        <v>45862</v>
      </c>
      <c r="D155" s="111"/>
      <c r="E155" s="14" t="s">
        <v>633</v>
      </c>
      <c r="F155" s="156" t="s">
        <v>639</v>
      </c>
      <c r="G155" s="17"/>
      <c r="H155" s="65"/>
      <c r="I155" s="17" t="s">
        <v>84</v>
      </c>
      <c r="J155" s="66"/>
      <c r="K155" s="67" t="s">
        <v>111</v>
      </c>
      <c r="L155" s="29" t="s">
        <v>129</v>
      </c>
      <c r="M155" s="14" t="s">
        <v>808</v>
      </c>
      <c r="N155" s="14"/>
    </row>
    <row r="156" spans="2:14" ht="60" x14ac:dyDescent="0.25">
      <c r="B156" s="64">
        <v>153</v>
      </c>
      <c r="C156" s="147">
        <v>45863</v>
      </c>
      <c r="D156" s="111"/>
      <c r="E156" s="39" t="s">
        <v>735</v>
      </c>
      <c r="F156" s="150" t="s">
        <v>736</v>
      </c>
      <c r="G156" s="17"/>
      <c r="H156" s="65"/>
      <c r="I156" s="17" t="s">
        <v>84</v>
      </c>
      <c r="J156" s="66"/>
      <c r="K156" s="67" t="s">
        <v>111</v>
      </c>
      <c r="L156" s="69" t="s">
        <v>750</v>
      </c>
      <c r="M156" s="14" t="s">
        <v>751</v>
      </c>
      <c r="N156" s="14"/>
    </row>
    <row r="157" spans="2:14" ht="60" x14ac:dyDescent="0.25">
      <c r="B157" s="64">
        <v>154</v>
      </c>
      <c r="C157" s="147">
        <v>45863</v>
      </c>
      <c r="D157" s="111"/>
      <c r="E157" s="39" t="s">
        <v>735</v>
      </c>
      <c r="F157" s="150" t="s">
        <v>737</v>
      </c>
      <c r="G157" s="17"/>
      <c r="H157" s="65"/>
      <c r="I157" s="17" t="s">
        <v>84</v>
      </c>
      <c r="J157" s="66"/>
      <c r="K157" s="67" t="s">
        <v>111</v>
      </c>
      <c r="L157" s="69" t="s">
        <v>750</v>
      </c>
      <c r="M157" s="14" t="s">
        <v>751</v>
      </c>
      <c r="N157" s="14"/>
    </row>
    <row r="158" spans="2:14" ht="60" x14ac:dyDescent="0.25">
      <c r="B158" s="64">
        <v>155</v>
      </c>
      <c r="C158" s="147">
        <v>45863</v>
      </c>
      <c r="D158" s="111"/>
      <c r="E158" s="39" t="s">
        <v>735</v>
      </c>
      <c r="F158" s="150" t="s">
        <v>738</v>
      </c>
      <c r="G158" s="17"/>
      <c r="H158" s="65"/>
      <c r="I158" s="17" t="s">
        <v>84</v>
      </c>
      <c r="J158" s="66"/>
      <c r="K158" s="67" t="s">
        <v>111</v>
      </c>
      <c r="L158" s="69" t="s">
        <v>750</v>
      </c>
      <c r="M158" s="14" t="s">
        <v>751</v>
      </c>
      <c r="N158" s="14"/>
    </row>
    <row r="159" spans="2:14" ht="60" x14ac:dyDescent="0.25">
      <c r="B159" s="64">
        <v>156</v>
      </c>
      <c r="C159" s="147">
        <v>45863</v>
      </c>
      <c r="D159" s="111"/>
      <c r="E159" s="39" t="s">
        <v>735</v>
      </c>
      <c r="F159" s="150" t="s">
        <v>739</v>
      </c>
      <c r="G159" s="17"/>
      <c r="H159" s="65"/>
      <c r="I159" s="17" t="s">
        <v>84</v>
      </c>
      <c r="J159" s="66"/>
      <c r="K159" s="67" t="s">
        <v>111</v>
      </c>
      <c r="L159" s="69" t="s">
        <v>750</v>
      </c>
      <c r="M159" s="14" t="s">
        <v>751</v>
      </c>
      <c r="N159" s="14"/>
    </row>
    <row r="160" spans="2:14" ht="60" x14ac:dyDescent="0.25">
      <c r="B160" s="64">
        <v>157</v>
      </c>
      <c r="C160" s="147">
        <v>45863</v>
      </c>
      <c r="D160" s="111"/>
      <c r="E160" s="39" t="s">
        <v>735</v>
      </c>
      <c r="F160" s="150" t="s">
        <v>740</v>
      </c>
      <c r="G160" s="17"/>
      <c r="H160" s="65"/>
      <c r="I160" s="17" t="s">
        <v>84</v>
      </c>
      <c r="J160" s="66"/>
      <c r="K160" s="67" t="s">
        <v>111</v>
      </c>
      <c r="L160" s="69" t="s">
        <v>750</v>
      </c>
      <c r="M160" s="14" t="s">
        <v>751</v>
      </c>
      <c r="N160" s="14"/>
    </row>
    <row r="161" spans="2:14" ht="60" x14ac:dyDescent="0.25">
      <c r="B161" s="64">
        <v>158</v>
      </c>
      <c r="C161" s="147">
        <v>45863</v>
      </c>
      <c r="D161" s="111"/>
      <c r="E161" s="39" t="s">
        <v>735</v>
      </c>
      <c r="F161" s="150" t="s">
        <v>741</v>
      </c>
      <c r="G161" s="17"/>
      <c r="H161" s="65"/>
      <c r="I161" s="17" t="s">
        <v>84</v>
      </c>
      <c r="J161" s="66"/>
      <c r="K161" s="67" t="s">
        <v>111</v>
      </c>
      <c r="L161" s="69" t="s">
        <v>750</v>
      </c>
      <c r="M161" s="14" t="s">
        <v>751</v>
      </c>
      <c r="N161" s="14"/>
    </row>
    <row r="162" spans="2:14" ht="60" x14ac:dyDescent="0.25">
      <c r="B162" s="64">
        <v>159</v>
      </c>
      <c r="C162" s="147">
        <v>45863</v>
      </c>
      <c r="D162" s="111"/>
      <c r="E162" s="39" t="s">
        <v>735</v>
      </c>
      <c r="F162" s="150" t="s">
        <v>742</v>
      </c>
      <c r="G162" s="17"/>
      <c r="H162" s="65"/>
      <c r="I162" s="17" t="s">
        <v>84</v>
      </c>
      <c r="J162" s="66"/>
      <c r="K162" s="67" t="s">
        <v>111</v>
      </c>
      <c r="L162" s="69" t="s">
        <v>750</v>
      </c>
      <c r="M162" s="14" t="s">
        <v>751</v>
      </c>
      <c r="N162" s="14"/>
    </row>
    <row r="163" spans="2:14" ht="60" x14ac:dyDescent="0.25">
      <c r="B163" s="64">
        <v>160</v>
      </c>
      <c r="C163" s="147">
        <v>45863</v>
      </c>
      <c r="D163" s="111"/>
      <c r="E163" s="39" t="s">
        <v>735</v>
      </c>
      <c r="F163" s="150" t="s">
        <v>743</v>
      </c>
      <c r="G163" s="17"/>
      <c r="H163" s="65"/>
      <c r="I163" s="17" t="s">
        <v>84</v>
      </c>
      <c r="J163" s="66"/>
      <c r="K163" s="67" t="s">
        <v>111</v>
      </c>
      <c r="L163" s="69" t="s">
        <v>750</v>
      </c>
      <c r="M163" s="14" t="s">
        <v>751</v>
      </c>
      <c r="N163" s="14"/>
    </row>
    <row r="164" spans="2:14" ht="60" x14ac:dyDescent="0.25">
      <c r="B164" s="64">
        <v>161</v>
      </c>
      <c r="C164" s="147">
        <v>45863</v>
      </c>
      <c r="D164" s="111"/>
      <c r="E164" s="39" t="s">
        <v>735</v>
      </c>
      <c r="F164" s="150" t="s">
        <v>744</v>
      </c>
      <c r="G164" s="17"/>
      <c r="H164" s="65"/>
      <c r="I164" s="17" t="s">
        <v>84</v>
      </c>
      <c r="J164" s="66"/>
      <c r="K164" s="67" t="s">
        <v>111</v>
      </c>
      <c r="L164" s="69" t="s">
        <v>750</v>
      </c>
      <c r="M164" s="14" t="s">
        <v>751</v>
      </c>
      <c r="N164" s="14"/>
    </row>
    <row r="165" spans="2:14" ht="60" x14ac:dyDescent="0.25">
      <c r="B165" s="64">
        <v>162</v>
      </c>
      <c r="C165" s="147">
        <v>45863</v>
      </c>
      <c r="D165" s="111"/>
      <c r="E165" s="39" t="s">
        <v>735</v>
      </c>
      <c r="F165" s="150" t="s">
        <v>745</v>
      </c>
      <c r="G165" s="17"/>
      <c r="H165" s="65"/>
      <c r="I165" s="17" t="s">
        <v>84</v>
      </c>
      <c r="J165" s="66"/>
      <c r="K165" s="67" t="s">
        <v>111</v>
      </c>
      <c r="L165" s="69" t="s">
        <v>750</v>
      </c>
      <c r="M165" s="14" t="s">
        <v>751</v>
      </c>
      <c r="N165" s="14"/>
    </row>
    <row r="166" spans="2:14" ht="120" x14ac:dyDescent="0.25">
      <c r="B166" s="64">
        <v>163</v>
      </c>
      <c r="C166" s="147">
        <v>45863</v>
      </c>
      <c r="D166" s="111"/>
      <c r="E166" s="39" t="s">
        <v>735</v>
      </c>
      <c r="F166" s="150" t="s">
        <v>746</v>
      </c>
      <c r="G166" s="17"/>
      <c r="H166" s="65"/>
      <c r="I166" s="17" t="s">
        <v>84</v>
      </c>
      <c r="J166" s="66"/>
      <c r="K166" s="67" t="s">
        <v>111</v>
      </c>
      <c r="L166" s="69" t="s">
        <v>750</v>
      </c>
      <c r="M166" s="14" t="s">
        <v>751</v>
      </c>
      <c r="N166" s="14"/>
    </row>
    <row r="167" spans="2:14" ht="60" x14ac:dyDescent="0.25">
      <c r="B167" s="64">
        <v>164</v>
      </c>
      <c r="C167" s="147">
        <v>45863</v>
      </c>
      <c r="D167" s="111"/>
      <c r="E167" s="39" t="s">
        <v>735</v>
      </c>
      <c r="F167" s="150" t="s">
        <v>747</v>
      </c>
      <c r="G167" s="17"/>
      <c r="H167" s="65"/>
      <c r="I167" s="17" t="s">
        <v>84</v>
      </c>
      <c r="J167" s="66"/>
      <c r="K167" s="67" t="s">
        <v>111</v>
      </c>
      <c r="L167" s="69" t="s">
        <v>750</v>
      </c>
      <c r="M167" s="14" t="s">
        <v>751</v>
      </c>
      <c r="N167" s="14"/>
    </row>
    <row r="168" spans="2:14" ht="75" x14ac:dyDescent="0.25">
      <c r="B168" s="64">
        <v>165</v>
      </c>
      <c r="C168" s="147">
        <v>45863</v>
      </c>
      <c r="D168" s="111"/>
      <c r="E168" s="39" t="s">
        <v>735</v>
      </c>
      <c r="F168" s="150" t="s">
        <v>748</v>
      </c>
      <c r="G168" s="17"/>
      <c r="H168" s="65"/>
      <c r="I168" s="17" t="s">
        <v>84</v>
      </c>
      <c r="J168" s="66"/>
      <c r="K168" s="67" t="s">
        <v>111</v>
      </c>
      <c r="L168" s="69" t="s">
        <v>750</v>
      </c>
      <c r="M168" s="14" t="s">
        <v>751</v>
      </c>
      <c r="N168" s="14"/>
    </row>
    <row r="169" spans="2:14" ht="60" x14ac:dyDescent="0.25">
      <c r="B169" s="64">
        <v>166</v>
      </c>
      <c r="C169" s="147">
        <v>45863</v>
      </c>
      <c r="D169" s="111"/>
      <c r="E169" s="39" t="s">
        <v>735</v>
      </c>
      <c r="F169" s="150" t="s">
        <v>749</v>
      </c>
      <c r="G169" s="17"/>
      <c r="H169" s="65"/>
      <c r="I169" s="17"/>
      <c r="J169" s="66"/>
      <c r="K169" s="67" t="s">
        <v>111</v>
      </c>
      <c r="L169" s="69" t="s">
        <v>750</v>
      </c>
      <c r="M169" s="14" t="s">
        <v>751</v>
      </c>
      <c r="N169" s="14"/>
    </row>
    <row r="170" spans="2:14" ht="31.5" x14ac:dyDescent="0.25">
      <c r="B170" s="64">
        <v>167</v>
      </c>
      <c r="C170" s="147">
        <v>45863</v>
      </c>
      <c r="D170" s="147"/>
      <c r="E170" s="19" t="s">
        <v>163</v>
      </c>
      <c r="F170" s="44" t="s">
        <v>473</v>
      </c>
      <c r="G170" s="148"/>
      <c r="H170" s="148"/>
      <c r="I170" s="148"/>
      <c r="J170" s="17" t="s">
        <v>84</v>
      </c>
      <c r="K170" s="67" t="s">
        <v>117</v>
      </c>
      <c r="L170" s="69" t="s">
        <v>202</v>
      </c>
      <c r="M170" s="19"/>
      <c r="N170" s="19"/>
    </row>
    <row r="171" spans="2:14" ht="45" x14ac:dyDescent="0.25">
      <c r="B171" s="64">
        <v>168</v>
      </c>
      <c r="C171" s="147">
        <v>45868</v>
      </c>
      <c r="D171" s="147"/>
      <c r="E171" s="19" t="s">
        <v>163</v>
      </c>
      <c r="F171" s="150" t="s">
        <v>516</v>
      </c>
      <c r="G171" s="148"/>
      <c r="H171" s="148"/>
      <c r="I171" s="148"/>
      <c r="J171" s="17" t="s">
        <v>84</v>
      </c>
      <c r="K171" s="67" t="s">
        <v>117</v>
      </c>
      <c r="L171" s="69" t="s">
        <v>202</v>
      </c>
      <c r="M171" s="19"/>
      <c r="N171" s="19"/>
    </row>
    <row r="172" spans="2:14" ht="105" x14ac:dyDescent="0.25">
      <c r="B172" s="64">
        <v>169</v>
      </c>
      <c r="C172" s="147">
        <v>45881</v>
      </c>
      <c r="D172" s="147"/>
      <c r="E172" s="14" t="s">
        <v>722</v>
      </c>
      <c r="F172" s="150" t="s">
        <v>723</v>
      </c>
      <c r="G172" s="148"/>
      <c r="H172" s="148"/>
      <c r="I172" s="148"/>
      <c r="J172" s="17" t="s">
        <v>84</v>
      </c>
      <c r="K172" s="67" t="s">
        <v>111</v>
      </c>
      <c r="L172" s="69" t="s">
        <v>526</v>
      </c>
      <c r="M172" s="19" t="s">
        <v>754</v>
      </c>
      <c r="N172" s="19"/>
    </row>
    <row r="173" spans="2:14" ht="105" x14ac:dyDescent="0.25">
      <c r="B173" s="64">
        <v>170</v>
      </c>
      <c r="C173" s="147">
        <v>45881</v>
      </c>
      <c r="D173" s="147"/>
      <c r="E173" s="14" t="s">
        <v>722</v>
      </c>
      <c r="F173" s="150" t="s">
        <v>724</v>
      </c>
      <c r="G173" s="148"/>
      <c r="H173" s="148"/>
      <c r="I173" s="148"/>
      <c r="J173" s="17" t="s">
        <v>84</v>
      </c>
      <c r="K173" s="67" t="s">
        <v>111</v>
      </c>
      <c r="L173" s="69" t="s">
        <v>179</v>
      </c>
      <c r="M173" s="19" t="s">
        <v>754</v>
      </c>
      <c r="N173" s="19"/>
    </row>
    <row r="174" spans="2:14" ht="105" x14ac:dyDescent="0.25">
      <c r="B174" s="64">
        <v>171</v>
      </c>
      <c r="C174" s="147">
        <v>45881</v>
      </c>
      <c r="D174" s="147"/>
      <c r="E174" s="14" t="s">
        <v>722</v>
      </c>
      <c r="F174" s="150" t="s">
        <v>725</v>
      </c>
      <c r="G174" s="148"/>
      <c r="H174" s="148"/>
      <c r="I174" s="148"/>
      <c r="J174" s="17" t="s">
        <v>84</v>
      </c>
      <c r="K174" s="67" t="s">
        <v>111</v>
      </c>
      <c r="L174" s="69" t="s">
        <v>179</v>
      </c>
      <c r="M174" s="19" t="s">
        <v>754</v>
      </c>
      <c r="N174" s="19"/>
    </row>
    <row r="175" spans="2:14" ht="105" x14ac:dyDescent="0.25">
      <c r="B175" s="64">
        <v>172</v>
      </c>
      <c r="C175" s="147">
        <v>45881</v>
      </c>
      <c r="D175" s="147"/>
      <c r="E175" s="14" t="s">
        <v>722</v>
      </c>
      <c r="F175" s="150" t="s">
        <v>726</v>
      </c>
      <c r="G175" s="148"/>
      <c r="H175" s="148"/>
      <c r="I175" s="148"/>
      <c r="J175" s="17" t="s">
        <v>84</v>
      </c>
      <c r="K175" s="67" t="s">
        <v>111</v>
      </c>
      <c r="L175" s="69" t="s">
        <v>526</v>
      </c>
      <c r="M175" s="19" t="s">
        <v>754</v>
      </c>
      <c r="N175" s="19"/>
    </row>
    <row r="176" spans="2:14" ht="105" x14ac:dyDescent="0.25">
      <c r="B176" s="64">
        <v>173</v>
      </c>
      <c r="C176" s="147">
        <v>45881</v>
      </c>
      <c r="D176" s="147"/>
      <c r="E176" s="14" t="s">
        <v>722</v>
      </c>
      <c r="F176" s="150" t="s">
        <v>727</v>
      </c>
      <c r="G176" s="148"/>
      <c r="H176" s="148"/>
      <c r="I176" s="148"/>
      <c r="J176" s="17" t="s">
        <v>84</v>
      </c>
      <c r="K176" s="67" t="s">
        <v>111</v>
      </c>
      <c r="L176" s="69" t="s">
        <v>526</v>
      </c>
      <c r="M176" s="19" t="s">
        <v>754</v>
      </c>
      <c r="N176" s="19"/>
    </row>
    <row r="177" spans="2:14" ht="195" x14ac:dyDescent="0.25">
      <c r="B177" s="64">
        <v>174</v>
      </c>
      <c r="C177" s="147">
        <v>45881</v>
      </c>
      <c r="D177" s="147"/>
      <c r="E177" s="14" t="s">
        <v>722</v>
      </c>
      <c r="F177" s="150" t="s">
        <v>728</v>
      </c>
      <c r="G177" s="148"/>
      <c r="H177" s="148"/>
      <c r="I177" s="148"/>
      <c r="J177" s="17" t="s">
        <v>84</v>
      </c>
      <c r="K177" s="67" t="s">
        <v>111</v>
      </c>
      <c r="L177" s="69" t="s">
        <v>526</v>
      </c>
      <c r="M177" s="19" t="s">
        <v>754</v>
      </c>
      <c r="N177" s="19"/>
    </row>
    <row r="178" spans="2:14" ht="105" x14ac:dyDescent="0.25">
      <c r="B178" s="64">
        <v>175</v>
      </c>
      <c r="C178" s="147">
        <v>45881</v>
      </c>
      <c r="D178" s="147"/>
      <c r="E178" s="14" t="s">
        <v>722</v>
      </c>
      <c r="F178" s="150" t="s">
        <v>729</v>
      </c>
      <c r="G178" s="148"/>
      <c r="H178" s="148"/>
      <c r="I178" s="148"/>
      <c r="J178" s="17" t="s">
        <v>84</v>
      </c>
      <c r="K178" s="67" t="s">
        <v>111</v>
      </c>
      <c r="L178" s="69" t="s">
        <v>526</v>
      </c>
      <c r="M178" s="19" t="s">
        <v>754</v>
      </c>
      <c r="N178" s="19"/>
    </row>
    <row r="179" spans="2:14" ht="195" x14ac:dyDescent="0.25">
      <c r="B179" s="64">
        <v>176</v>
      </c>
      <c r="C179" s="147">
        <v>45881</v>
      </c>
      <c r="D179" s="147"/>
      <c r="E179" s="14" t="s">
        <v>722</v>
      </c>
      <c r="F179" s="150" t="s">
        <v>730</v>
      </c>
      <c r="G179" s="148"/>
      <c r="H179" s="148"/>
      <c r="I179" s="148"/>
      <c r="J179" s="17"/>
      <c r="K179" s="67" t="s">
        <v>111</v>
      </c>
      <c r="L179" s="69" t="s">
        <v>526</v>
      </c>
      <c r="M179" s="19" t="s">
        <v>754</v>
      </c>
      <c r="N179" s="19"/>
    </row>
    <row r="180" spans="2:14" ht="105" x14ac:dyDescent="0.25">
      <c r="B180" s="64">
        <v>177</v>
      </c>
      <c r="C180" s="147">
        <v>45881</v>
      </c>
      <c r="D180" s="147"/>
      <c r="E180" s="14" t="s">
        <v>722</v>
      </c>
      <c r="F180" s="150" t="s">
        <v>731</v>
      </c>
      <c r="G180" s="148"/>
      <c r="H180" s="148"/>
      <c r="I180" s="148"/>
      <c r="J180" s="17" t="s">
        <v>84</v>
      </c>
      <c r="K180" s="67" t="s">
        <v>111</v>
      </c>
      <c r="L180" s="69" t="s">
        <v>526</v>
      </c>
      <c r="M180" s="19" t="s">
        <v>754</v>
      </c>
      <c r="N180" s="19"/>
    </row>
    <row r="181" spans="2:14" ht="105" x14ac:dyDescent="0.25">
      <c r="B181" s="64">
        <v>178</v>
      </c>
      <c r="C181" s="147">
        <v>45881</v>
      </c>
      <c r="D181" s="147"/>
      <c r="E181" s="14" t="s">
        <v>722</v>
      </c>
      <c r="F181" s="150" t="s">
        <v>732</v>
      </c>
      <c r="G181" s="148"/>
      <c r="H181" s="148"/>
      <c r="I181" s="148"/>
      <c r="J181" s="17" t="s">
        <v>84</v>
      </c>
      <c r="K181" s="67" t="s">
        <v>111</v>
      </c>
      <c r="L181" s="69" t="s">
        <v>526</v>
      </c>
      <c r="M181" s="19" t="s">
        <v>754</v>
      </c>
      <c r="N181" s="19"/>
    </row>
    <row r="182" spans="2:14" ht="75" x14ac:dyDescent="0.25">
      <c r="B182" s="64">
        <v>179</v>
      </c>
      <c r="C182" s="147">
        <v>45876</v>
      </c>
      <c r="D182" s="147"/>
      <c r="E182" s="14" t="s">
        <v>83</v>
      </c>
      <c r="F182" s="150" t="s">
        <v>581</v>
      </c>
      <c r="G182" s="148"/>
      <c r="H182" s="148"/>
      <c r="I182" s="17" t="s">
        <v>84</v>
      </c>
      <c r="J182" s="149"/>
      <c r="K182" s="67" t="s">
        <v>111</v>
      </c>
      <c r="L182" s="69" t="s">
        <v>158</v>
      </c>
      <c r="M182" s="19" t="s">
        <v>665</v>
      </c>
      <c r="N182" s="19"/>
    </row>
    <row r="183" spans="2:14" ht="60" x14ac:dyDescent="0.25">
      <c r="B183" s="64">
        <v>180</v>
      </c>
      <c r="C183" s="147">
        <v>45886</v>
      </c>
      <c r="D183" s="147"/>
      <c r="E183" s="14" t="s">
        <v>83</v>
      </c>
      <c r="F183" s="5" t="s">
        <v>661</v>
      </c>
      <c r="G183" s="148"/>
      <c r="H183" s="148"/>
      <c r="I183" s="17" t="s">
        <v>84</v>
      </c>
      <c r="J183" s="149"/>
      <c r="K183" s="67" t="s">
        <v>111</v>
      </c>
      <c r="L183" s="69" t="s">
        <v>179</v>
      </c>
      <c r="M183" s="19" t="s">
        <v>816</v>
      </c>
      <c r="N183" s="19"/>
    </row>
    <row r="184" spans="2:14" ht="45" x14ac:dyDescent="0.25">
      <c r="B184" s="64">
        <v>181</v>
      </c>
      <c r="C184" s="147">
        <v>45888</v>
      </c>
      <c r="D184" s="147"/>
      <c r="E184" s="19" t="s">
        <v>163</v>
      </c>
      <c r="F184" s="150" t="s">
        <v>648</v>
      </c>
      <c r="G184" s="148"/>
      <c r="H184" s="148"/>
      <c r="I184" s="148"/>
      <c r="J184" s="17" t="s">
        <v>84</v>
      </c>
      <c r="K184" s="67" t="s">
        <v>117</v>
      </c>
      <c r="L184" s="69" t="s">
        <v>202</v>
      </c>
      <c r="M184" s="19"/>
      <c r="N184" s="19"/>
    </row>
    <row r="185" spans="2:14" ht="75" x14ac:dyDescent="0.25">
      <c r="B185" s="64">
        <v>182</v>
      </c>
      <c r="C185" s="147">
        <v>45888</v>
      </c>
      <c r="D185" s="147"/>
      <c r="E185" s="19" t="s">
        <v>226</v>
      </c>
      <c r="F185" s="5" t="s">
        <v>649</v>
      </c>
      <c r="G185" s="17" t="s">
        <v>84</v>
      </c>
      <c r="H185" s="148"/>
      <c r="I185" s="148"/>
      <c r="J185" s="149"/>
      <c r="K185" s="67" t="s">
        <v>111</v>
      </c>
      <c r="L185" s="69" t="s">
        <v>158</v>
      </c>
      <c r="M185" s="19" t="s">
        <v>802</v>
      </c>
      <c r="N185" s="19"/>
    </row>
    <row r="186" spans="2:14" ht="60" x14ac:dyDescent="0.25">
      <c r="B186" s="64">
        <v>183</v>
      </c>
      <c r="C186" s="147">
        <v>45894</v>
      </c>
      <c r="D186" s="147"/>
      <c r="E186" s="14" t="s">
        <v>83</v>
      </c>
      <c r="F186" s="100" t="s">
        <v>664</v>
      </c>
      <c r="G186" s="148"/>
      <c r="H186" s="148"/>
      <c r="I186" s="17" t="s">
        <v>84</v>
      </c>
      <c r="J186" s="149"/>
      <c r="K186" s="67" t="s">
        <v>111</v>
      </c>
      <c r="L186" s="69" t="s">
        <v>179</v>
      </c>
      <c r="M186" s="19" t="s">
        <v>816</v>
      </c>
      <c r="N186" s="19"/>
    </row>
    <row r="187" spans="2:14" ht="75" x14ac:dyDescent="0.25">
      <c r="B187" s="64">
        <v>184</v>
      </c>
      <c r="C187" s="147">
        <v>45902</v>
      </c>
      <c r="D187" s="147"/>
      <c r="E187" s="19" t="s">
        <v>163</v>
      </c>
      <c r="F187" s="150" t="s">
        <v>666</v>
      </c>
      <c r="G187" s="148"/>
      <c r="H187" s="148"/>
      <c r="I187" s="148"/>
      <c r="J187" s="17" t="s">
        <v>84</v>
      </c>
      <c r="K187" s="67" t="s">
        <v>117</v>
      </c>
      <c r="L187" s="69" t="s">
        <v>202</v>
      </c>
      <c r="M187" s="19"/>
      <c r="N187" s="19"/>
    </row>
    <row r="188" spans="2:14" ht="90" x14ac:dyDescent="0.25">
      <c r="B188" s="64">
        <v>185</v>
      </c>
      <c r="C188" s="147">
        <v>45909</v>
      </c>
      <c r="D188" s="147"/>
      <c r="E188" s="14" t="s">
        <v>83</v>
      </c>
      <c r="F188" s="150" t="s">
        <v>675</v>
      </c>
      <c r="G188" s="148"/>
      <c r="H188" s="148"/>
      <c r="I188" s="17" t="s">
        <v>84</v>
      </c>
      <c r="J188" s="17"/>
      <c r="K188" s="67" t="s">
        <v>111</v>
      </c>
      <c r="L188" s="69" t="s">
        <v>179</v>
      </c>
      <c r="M188" s="19" t="s">
        <v>816</v>
      </c>
      <c r="N188" s="19"/>
    </row>
    <row r="189" spans="2:14" ht="105" x14ac:dyDescent="0.25">
      <c r="B189" s="64">
        <v>186</v>
      </c>
      <c r="C189" s="147">
        <v>45914</v>
      </c>
      <c r="D189" s="147">
        <v>45905</v>
      </c>
      <c r="E189" s="19" t="s">
        <v>83</v>
      </c>
      <c r="F189" s="150" t="s">
        <v>671</v>
      </c>
      <c r="G189" s="148"/>
      <c r="H189" s="148"/>
      <c r="I189" s="17" t="s">
        <v>84</v>
      </c>
      <c r="J189" s="149"/>
      <c r="K189" s="105" t="s">
        <v>91</v>
      </c>
      <c r="L189" s="69" t="s">
        <v>179</v>
      </c>
      <c r="M189" s="19" t="s">
        <v>822</v>
      </c>
      <c r="N189" s="19"/>
    </row>
    <row r="190" spans="2:14" ht="90" x14ac:dyDescent="0.25">
      <c r="B190" s="64">
        <v>187</v>
      </c>
      <c r="C190" s="147">
        <v>45914</v>
      </c>
      <c r="D190" s="147">
        <v>45907</v>
      </c>
      <c r="E190" s="19" t="s">
        <v>83</v>
      </c>
      <c r="F190" s="150" t="s">
        <v>672</v>
      </c>
      <c r="G190" s="148"/>
      <c r="H190" s="148"/>
      <c r="I190" s="17" t="s">
        <v>84</v>
      </c>
      <c r="J190" s="149"/>
      <c r="K190" s="105" t="s">
        <v>91</v>
      </c>
      <c r="L190" s="30" t="s">
        <v>394</v>
      </c>
      <c r="M190" s="19"/>
      <c r="N190" s="19"/>
    </row>
    <row r="191" spans="2:14" ht="120" x14ac:dyDescent="0.25">
      <c r="B191" s="64">
        <v>188</v>
      </c>
      <c r="C191" s="147">
        <v>45914</v>
      </c>
      <c r="D191" s="147">
        <v>45907</v>
      </c>
      <c r="E191" s="19" t="s">
        <v>83</v>
      </c>
      <c r="F191" s="150" t="s">
        <v>804</v>
      </c>
      <c r="G191" s="148"/>
      <c r="H191" s="148"/>
      <c r="I191" s="17" t="s">
        <v>84</v>
      </c>
      <c r="J191" s="149"/>
      <c r="K191" s="105" t="s">
        <v>91</v>
      </c>
      <c r="L191" s="29" t="s">
        <v>129</v>
      </c>
      <c r="M191" s="19"/>
      <c r="N191" s="19"/>
    </row>
    <row r="192" spans="2:14" ht="31.5" x14ac:dyDescent="0.25">
      <c r="B192" s="64">
        <v>189</v>
      </c>
      <c r="C192" s="147">
        <v>45923</v>
      </c>
      <c r="D192" s="147"/>
      <c r="E192" s="19" t="s">
        <v>163</v>
      </c>
      <c r="F192" s="150" t="s">
        <v>680</v>
      </c>
      <c r="G192" s="148"/>
      <c r="H192" s="148"/>
      <c r="I192" s="148"/>
      <c r="J192" s="17" t="s">
        <v>84</v>
      </c>
      <c r="K192" s="67" t="s">
        <v>117</v>
      </c>
      <c r="L192" s="69" t="s">
        <v>202</v>
      </c>
      <c r="M192" s="19"/>
      <c r="N192" s="19"/>
    </row>
    <row r="193" spans="2:14" ht="31.5" x14ac:dyDescent="0.25">
      <c r="B193" s="64">
        <v>190</v>
      </c>
      <c r="C193" s="147">
        <v>45928</v>
      </c>
      <c r="D193" s="147"/>
      <c r="E193" s="19" t="s">
        <v>163</v>
      </c>
      <c r="F193" s="150" t="s">
        <v>687</v>
      </c>
      <c r="G193" s="148"/>
      <c r="H193" s="148"/>
      <c r="I193" s="148"/>
      <c r="J193" s="17" t="s">
        <v>84</v>
      </c>
      <c r="K193" s="67" t="s">
        <v>117</v>
      </c>
      <c r="L193" s="69" t="s">
        <v>202</v>
      </c>
      <c r="M193" s="19"/>
      <c r="N193" s="19"/>
    </row>
    <row r="194" spans="2:14" ht="31.5" x14ac:dyDescent="0.25">
      <c r="B194" s="64">
        <v>191</v>
      </c>
      <c r="C194" s="147">
        <v>45937</v>
      </c>
      <c r="D194" s="147"/>
      <c r="E194" s="19" t="s">
        <v>83</v>
      </c>
      <c r="F194" s="150" t="s">
        <v>681</v>
      </c>
      <c r="G194" s="148"/>
      <c r="H194" s="148"/>
      <c r="I194" s="17" t="s">
        <v>84</v>
      </c>
      <c r="J194" s="149"/>
      <c r="K194" s="105" t="s">
        <v>91</v>
      </c>
      <c r="L194" s="30" t="s">
        <v>176</v>
      </c>
      <c r="M194" s="19"/>
      <c r="N194" s="19"/>
    </row>
    <row r="195" spans="2:14" ht="31.5" x14ac:dyDescent="0.25">
      <c r="B195" s="64">
        <v>192</v>
      </c>
      <c r="C195" s="147">
        <v>45936</v>
      </c>
      <c r="D195" s="147"/>
      <c r="E195" s="19" t="s">
        <v>163</v>
      </c>
      <c r="F195" s="150" t="s">
        <v>691</v>
      </c>
      <c r="G195" s="148"/>
      <c r="H195" s="148"/>
      <c r="I195" s="17"/>
      <c r="J195" s="17" t="s">
        <v>84</v>
      </c>
      <c r="K195" s="67" t="s">
        <v>117</v>
      </c>
      <c r="L195" s="69" t="s">
        <v>202</v>
      </c>
      <c r="M195" s="19"/>
      <c r="N195" s="19"/>
    </row>
    <row r="196" spans="2:14" ht="60" x14ac:dyDescent="0.25">
      <c r="B196" s="64">
        <v>193</v>
      </c>
      <c r="C196" s="147">
        <v>45938</v>
      </c>
      <c r="D196" s="147"/>
      <c r="E196" s="19" t="s">
        <v>163</v>
      </c>
      <c r="F196" s="150" t="s">
        <v>684</v>
      </c>
      <c r="G196" s="148"/>
      <c r="H196" s="148"/>
      <c r="I196" s="148"/>
      <c r="J196" s="17" t="s">
        <v>84</v>
      </c>
      <c r="K196" s="67" t="s">
        <v>117</v>
      </c>
      <c r="L196" s="69" t="s">
        <v>202</v>
      </c>
      <c r="M196" s="19"/>
      <c r="N196" s="19"/>
    </row>
    <row r="197" spans="2:14" ht="90" x14ac:dyDescent="0.25">
      <c r="B197" s="64">
        <v>194</v>
      </c>
      <c r="C197" s="111">
        <v>45940</v>
      </c>
      <c r="D197" s="111"/>
      <c r="E197" s="14" t="s">
        <v>83</v>
      </c>
      <c r="F197" s="82" t="s">
        <v>685</v>
      </c>
      <c r="G197" s="65"/>
      <c r="H197" s="65"/>
      <c r="I197" s="17" t="s">
        <v>84</v>
      </c>
      <c r="J197" s="66"/>
      <c r="K197" s="105" t="s">
        <v>91</v>
      </c>
      <c r="L197" s="30" t="s">
        <v>176</v>
      </c>
      <c r="M197" s="14"/>
      <c r="N197" s="14"/>
    </row>
    <row r="198" spans="2:14" ht="120" x14ac:dyDescent="0.25">
      <c r="B198" s="64">
        <v>195</v>
      </c>
      <c r="C198" s="111">
        <v>45940</v>
      </c>
      <c r="D198" s="111"/>
      <c r="E198" s="14" t="s">
        <v>805</v>
      </c>
      <c r="F198" s="82" t="s">
        <v>695</v>
      </c>
      <c r="G198" s="17" t="s">
        <v>84</v>
      </c>
      <c r="H198" s="65"/>
      <c r="I198" s="65"/>
      <c r="J198" s="66"/>
      <c r="K198" s="67" t="s">
        <v>111</v>
      </c>
      <c r="L198" s="30" t="s">
        <v>158</v>
      </c>
      <c r="M198" s="14"/>
      <c r="N198" s="14"/>
    </row>
    <row r="199" spans="2:14" ht="30" x14ac:dyDescent="0.25">
      <c r="B199" s="64">
        <v>196</v>
      </c>
      <c r="C199" s="111">
        <v>45949</v>
      </c>
      <c r="D199" s="111"/>
      <c r="E199" s="14" t="s">
        <v>83</v>
      </c>
      <c r="F199" s="82" t="s">
        <v>699</v>
      </c>
      <c r="G199" s="65"/>
      <c r="H199" s="65"/>
      <c r="I199" s="17" t="s">
        <v>84</v>
      </c>
      <c r="J199" s="66"/>
      <c r="K199" s="67" t="s">
        <v>111</v>
      </c>
      <c r="L199" s="69" t="s">
        <v>179</v>
      </c>
      <c r="M199" s="14"/>
      <c r="N199" s="14"/>
    </row>
    <row r="200" spans="2:14" ht="90" x14ac:dyDescent="0.25">
      <c r="B200" s="64">
        <v>197</v>
      </c>
      <c r="C200" s="111">
        <v>45950</v>
      </c>
      <c r="D200" s="111"/>
      <c r="E200" s="14" t="s">
        <v>83</v>
      </c>
      <c r="F200" s="82" t="s">
        <v>756</v>
      </c>
      <c r="G200" s="65"/>
      <c r="H200" s="65"/>
      <c r="I200" s="17" t="s">
        <v>84</v>
      </c>
      <c r="J200" s="66"/>
      <c r="K200" s="67" t="s">
        <v>111</v>
      </c>
      <c r="L200" s="29" t="s">
        <v>129</v>
      </c>
      <c r="M200" s="14" t="s">
        <v>757</v>
      </c>
      <c r="N200" s="14"/>
    </row>
    <row r="201" spans="2:14" ht="90" x14ac:dyDescent="0.25">
      <c r="B201" s="64">
        <v>198</v>
      </c>
      <c r="C201" s="111">
        <v>45954</v>
      </c>
      <c r="D201" s="111"/>
      <c r="E201" s="14" t="s">
        <v>83</v>
      </c>
      <c r="F201" s="82" t="s">
        <v>711</v>
      </c>
      <c r="G201" s="65"/>
      <c r="H201" s="65"/>
      <c r="I201" s="17" t="s">
        <v>84</v>
      </c>
      <c r="J201" s="66"/>
      <c r="K201" s="28" t="s">
        <v>110</v>
      </c>
      <c r="L201" s="30" t="s">
        <v>176</v>
      </c>
      <c r="M201" s="14"/>
      <c r="N201" s="14"/>
    </row>
    <row r="202" spans="2:14" ht="31.5" x14ac:dyDescent="0.25">
      <c r="B202" s="64">
        <v>199</v>
      </c>
      <c r="C202" s="111">
        <v>45955</v>
      </c>
      <c r="D202" s="111"/>
      <c r="E202" s="19" t="s">
        <v>163</v>
      </c>
      <c r="F202" s="82" t="s">
        <v>700</v>
      </c>
      <c r="G202" s="65"/>
      <c r="H202" s="65"/>
      <c r="I202" s="65"/>
      <c r="J202" s="17" t="s">
        <v>84</v>
      </c>
      <c r="K202" s="67" t="s">
        <v>117</v>
      </c>
      <c r="L202" s="69" t="s">
        <v>202</v>
      </c>
      <c r="M202" s="14"/>
      <c r="N202" s="14"/>
    </row>
    <row r="203" spans="2:14" ht="45" x14ac:dyDescent="0.25">
      <c r="B203" s="64">
        <v>200</v>
      </c>
      <c r="C203" s="98">
        <v>45959</v>
      </c>
      <c r="D203" s="111"/>
      <c r="E203" s="14" t="s">
        <v>83</v>
      </c>
      <c r="F203" s="82" t="s">
        <v>702</v>
      </c>
      <c r="G203" s="65"/>
      <c r="H203" s="65"/>
      <c r="I203" s="17" t="s">
        <v>84</v>
      </c>
      <c r="J203" s="66"/>
      <c r="K203" s="28" t="s">
        <v>110</v>
      </c>
      <c r="L203" s="30" t="s">
        <v>176</v>
      </c>
      <c r="M203" s="14"/>
      <c r="N203" s="14"/>
    </row>
    <row r="204" spans="2:14" ht="120" x14ac:dyDescent="0.25">
      <c r="B204" s="64">
        <v>201</v>
      </c>
      <c r="C204" s="98">
        <v>45959</v>
      </c>
      <c r="D204" s="111"/>
      <c r="E204" s="14" t="s">
        <v>83</v>
      </c>
      <c r="F204" s="82" t="s">
        <v>703</v>
      </c>
      <c r="G204" s="65"/>
      <c r="H204" s="65"/>
      <c r="I204" s="17" t="s">
        <v>84</v>
      </c>
      <c r="J204" s="66"/>
      <c r="K204" s="28" t="s">
        <v>110</v>
      </c>
      <c r="L204" s="30" t="s">
        <v>176</v>
      </c>
      <c r="M204" s="14"/>
      <c r="N204" s="14"/>
    </row>
    <row r="205" spans="2:14" ht="45" x14ac:dyDescent="0.25">
      <c r="B205" s="64">
        <v>202</v>
      </c>
      <c r="C205" s="111">
        <v>45961</v>
      </c>
      <c r="D205" s="111"/>
      <c r="E205" s="14" t="s">
        <v>706</v>
      </c>
      <c r="F205" s="82" t="s">
        <v>710</v>
      </c>
      <c r="G205" s="65"/>
      <c r="H205" s="65"/>
      <c r="I205" s="65"/>
      <c r="J205" s="17" t="s">
        <v>84</v>
      </c>
      <c r="K205" s="67" t="s">
        <v>117</v>
      </c>
      <c r="L205" s="69" t="s">
        <v>202</v>
      </c>
      <c r="M205" s="14"/>
      <c r="N205" s="14"/>
    </row>
    <row r="206" spans="2:14" ht="75" x14ac:dyDescent="0.25">
      <c r="B206" s="64">
        <v>203</v>
      </c>
      <c r="C206" s="111">
        <v>45961</v>
      </c>
      <c r="D206" s="111"/>
      <c r="E206" s="19" t="s">
        <v>226</v>
      </c>
      <c r="F206" s="82" t="s">
        <v>710</v>
      </c>
      <c r="G206" s="17" t="s">
        <v>84</v>
      </c>
      <c r="H206" s="65"/>
      <c r="I206" s="65"/>
      <c r="J206" s="17"/>
      <c r="K206" s="114" t="s">
        <v>328</v>
      </c>
      <c r="L206" s="69" t="s">
        <v>158</v>
      </c>
      <c r="M206" s="19" t="s">
        <v>802</v>
      </c>
      <c r="N206" s="14"/>
    </row>
    <row r="207" spans="2:14" ht="31.5" x14ac:dyDescent="0.25">
      <c r="B207" s="64">
        <v>204</v>
      </c>
      <c r="C207" s="111">
        <v>45965</v>
      </c>
      <c r="D207" s="111"/>
      <c r="E207" s="14" t="s">
        <v>706</v>
      </c>
      <c r="F207" s="82" t="s">
        <v>717</v>
      </c>
      <c r="G207" s="65"/>
      <c r="H207" s="65"/>
      <c r="I207" s="65"/>
      <c r="J207" s="17" t="s">
        <v>84</v>
      </c>
      <c r="K207" s="67" t="s">
        <v>117</v>
      </c>
      <c r="L207" s="69" t="s">
        <v>202</v>
      </c>
      <c r="M207" s="14"/>
      <c r="N207" s="14"/>
    </row>
    <row r="208" spans="2:14" ht="30" x14ac:dyDescent="0.25">
      <c r="B208" s="64">
        <v>205</v>
      </c>
      <c r="C208" s="111">
        <v>45964</v>
      </c>
      <c r="D208" s="111"/>
      <c r="E208" s="14" t="s">
        <v>575</v>
      </c>
      <c r="F208" s="82" t="s">
        <v>758</v>
      </c>
      <c r="G208" s="17" t="s">
        <v>84</v>
      </c>
      <c r="H208" s="65"/>
      <c r="I208" s="65"/>
      <c r="J208" s="135"/>
      <c r="K208" s="114" t="s">
        <v>328</v>
      </c>
      <c r="L208" s="69" t="s">
        <v>158</v>
      </c>
      <c r="M208" s="14"/>
      <c r="N208" s="14"/>
    </row>
    <row r="209" spans="2:14" ht="150" x14ac:dyDescent="0.25">
      <c r="B209" s="64">
        <v>206</v>
      </c>
      <c r="C209" s="111">
        <v>45972</v>
      </c>
      <c r="D209" s="111"/>
      <c r="E209" s="14" t="s">
        <v>83</v>
      </c>
      <c r="F209" s="82" t="s">
        <v>720</v>
      </c>
      <c r="G209" s="65"/>
      <c r="H209" s="65"/>
      <c r="I209" s="17" t="s">
        <v>84</v>
      </c>
      <c r="J209" s="66"/>
      <c r="K209" s="105" t="s">
        <v>91</v>
      </c>
      <c r="L209" s="30" t="s">
        <v>179</v>
      </c>
      <c r="M209" s="14"/>
      <c r="N209" s="14"/>
    </row>
    <row r="210" spans="2:14" ht="45" x14ac:dyDescent="0.25">
      <c r="B210" s="64">
        <v>207</v>
      </c>
      <c r="C210" s="111">
        <v>45989</v>
      </c>
      <c r="D210" s="111"/>
      <c r="E210" s="14" t="s">
        <v>151</v>
      </c>
      <c r="F210" s="82" t="s">
        <v>762</v>
      </c>
      <c r="G210" s="17" t="s">
        <v>84</v>
      </c>
      <c r="H210" s="65"/>
      <c r="I210" s="65"/>
      <c r="J210" s="66"/>
      <c r="K210" s="114" t="s">
        <v>328</v>
      </c>
      <c r="L210" s="69" t="s">
        <v>158</v>
      </c>
      <c r="M210" s="14"/>
      <c r="N210" s="14"/>
    </row>
    <row r="211" spans="2:14" ht="165" x14ac:dyDescent="0.25">
      <c r="B211" s="64">
        <v>208</v>
      </c>
      <c r="C211" s="111">
        <v>45994</v>
      </c>
      <c r="D211" s="111"/>
      <c r="E211" s="14" t="s">
        <v>83</v>
      </c>
      <c r="F211" s="82" t="s">
        <v>764</v>
      </c>
      <c r="G211" s="65"/>
      <c r="H211" s="65"/>
      <c r="I211" s="17" t="s">
        <v>84</v>
      </c>
      <c r="J211" s="66"/>
      <c r="K211" s="105" t="s">
        <v>91</v>
      </c>
      <c r="L211" s="30" t="s">
        <v>765</v>
      </c>
      <c r="M211" s="14"/>
      <c r="N211" s="14"/>
    </row>
    <row r="212" spans="2:14" ht="150" x14ac:dyDescent="0.25">
      <c r="B212" s="64">
        <v>209</v>
      </c>
      <c r="C212" s="111">
        <v>46014</v>
      </c>
      <c r="D212" s="111"/>
      <c r="E212" s="99" t="s">
        <v>83</v>
      </c>
      <c r="F212" s="82" t="s">
        <v>800</v>
      </c>
      <c r="G212" s="65"/>
      <c r="H212" s="65"/>
      <c r="I212" s="17" t="s">
        <v>84</v>
      </c>
      <c r="J212" s="66"/>
      <c r="K212" s="105" t="s">
        <v>91</v>
      </c>
      <c r="L212" s="69" t="s">
        <v>179</v>
      </c>
      <c r="M212" s="14"/>
      <c r="N212" s="14"/>
    </row>
    <row r="213" spans="2:14" ht="45" x14ac:dyDescent="0.25">
      <c r="B213" s="64">
        <v>210</v>
      </c>
      <c r="C213" s="111">
        <v>46020</v>
      </c>
      <c r="D213" s="111"/>
      <c r="E213" s="19" t="s">
        <v>83</v>
      </c>
      <c r="F213" s="82" t="s">
        <v>809</v>
      </c>
      <c r="G213" s="65"/>
      <c r="H213" s="65"/>
      <c r="I213" s="17" t="s">
        <v>84</v>
      </c>
      <c r="J213" s="66"/>
      <c r="K213" s="105" t="s">
        <v>91</v>
      </c>
      <c r="L213" s="69" t="s">
        <v>179</v>
      </c>
      <c r="M213" s="14"/>
      <c r="N213" s="14"/>
    </row>
    <row r="214" spans="2:14" ht="135" x14ac:dyDescent="0.25">
      <c r="B214" s="64">
        <v>86</v>
      </c>
      <c r="C214" s="111">
        <v>45987</v>
      </c>
      <c r="D214" s="111"/>
      <c r="E214" s="14" t="s">
        <v>832</v>
      </c>
      <c r="F214" s="82" t="s">
        <v>833</v>
      </c>
      <c r="G214" s="65"/>
      <c r="H214" s="65"/>
      <c r="I214" s="17" t="s">
        <v>84</v>
      </c>
      <c r="J214" s="66"/>
      <c r="K214" s="185" t="s">
        <v>328</v>
      </c>
      <c r="L214" s="69" t="s">
        <v>271</v>
      </c>
      <c r="M214" s="14"/>
      <c r="N214" s="14" t="s">
        <v>910</v>
      </c>
    </row>
    <row r="215" spans="2:14" ht="135" x14ac:dyDescent="0.25">
      <c r="B215" s="64">
        <v>87</v>
      </c>
      <c r="C215" s="111">
        <v>45987</v>
      </c>
      <c r="D215" s="111"/>
      <c r="E215" s="14" t="s">
        <v>832</v>
      </c>
      <c r="F215" s="82" t="s">
        <v>834</v>
      </c>
      <c r="G215" s="65"/>
      <c r="H215" s="65"/>
      <c r="I215" s="17" t="s">
        <v>84</v>
      </c>
      <c r="J215" s="66"/>
      <c r="K215" s="105" t="s">
        <v>91</v>
      </c>
      <c r="L215" s="69" t="s">
        <v>271</v>
      </c>
      <c r="M215" s="14"/>
      <c r="N215" s="14"/>
    </row>
    <row r="216" spans="2:14" ht="135" x14ac:dyDescent="0.25">
      <c r="B216" s="64">
        <v>88</v>
      </c>
      <c r="C216" s="111">
        <v>45987</v>
      </c>
      <c r="D216" s="111"/>
      <c r="E216" s="14" t="s">
        <v>832</v>
      </c>
      <c r="F216" s="82" t="s">
        <v>835</v>
      </c>
      <c r="G216" s="65"/>
      <c r="H216" s="65"/>
      <c r="I216" s="17" t="s">
        <v>84</v>
      </c>
      <c r="J216" s="66"/>
      <c r="K216" s="185" t="s">
        <v>328</v>
      </c>
      <c r="L216" s="69" t="s">
        <v>271</v>
      </c>
      <c r="M216" s="14"/>
      <c r="N216" s="14" t="s">
        <v>910</v>
      </c>
    </row>
    <row r="217" spans="2:14" ht="105" x14ac:dyDescent="0.25">
      <c r="B217" s="64">
        <v>89</v>
      </c>
      <c r="C217" s="111">
        <v>45987</v>
      </c>
      <c r="D217" s="111"/>
      <c r="E217" s="14" t="s">
        <v>832</v>
      </c>
      <c r="F217" s="82" t="s">
        <v>836</v>
      </c>
      <c r="G217" s="65"/>
      <c r="H217" s="65"/>
      <c r="I217" s="17" t="s">
        <v>84</v>
      </c>
      <c r="J217" s="66"/>
      <c r="K217" s="185" t="s">
        <v>328</v>
      </c>
      <c r="L217" s="69" t="s">
        <v>271</v>
      </c>
      <c r="M217" s="14"/>
      <c r="N217" s="14" t="s">
        <v>914</v>
      </c>
    </row>
    <row r="218" spans="2:14" ht="165" x14ac:dyDescent="0.25">
      <c r="B218" s="64">
        <v>90</v>
      </c>
      <c r="C218" s="111">
        <v>45987</v>
      </c>
      <c r="D218" s="111"/>
      <c r="E218" s="14" t="s">
        <v>832</v>
      </c>
      <c r="F218" s="82" t="s">
        <v>837</v>
      </c>
      <c r="G218" s="65"/>
      <c r="H218" s="65"/>
      <c r="I218" s="17" t="s">
        <v>84</v>
      </c>
      <c r="J218" s="66"/>
      <c r="K218" s="185" t="s">
        <v>328</v>
      </c>
      <c r="L218" s="69" t="s">
        <v>271</v>
      </c>
      <c r="M218" s="14"/>
      <c r="N218" s="14"/>
    </row>
    <row r="219" spans="2:14" ht="45" x14ac:dyDescent="0.25">
      <c r="B219" s="64">
        <v>91</v>
      </c>
      <c r="C219" s="111">
        <v>45987</v>
      </c>
      <c r="D219" s="111"/>
      <c r="E219" s="14" t="s">
        <v>832</v>
      </c>
      <c r="F219" s="82" t="s">
        <v>838</v>
      </c>
      <c r="G219" s="65"/>
      <c r="H219" s="65"/>
      <c r="I219" s="17" t="s">
        <v>84</v>
      </c>
      <c r="J219" s="66"/>
      <c r="K219" s="185" t="s">
        <v>328</v>
      </c>
      <c r="L219" s="69" t="s">
        <v>271</v>
      </c>
      <c r="M219" s="14"/>
      <c r="N219" s="14"/>
    </row>
    <row r="220" spans="2:14" ht="75" x14ac:dyDescent="0.25">
      <c r="B220" s="64">
        <v>92</v>
      </c>
      <c r="C220" s="111">
        <v>45987</v>
      </c>
      <c r="D220" s="111"/>
      <c r="E220" s="14" t="s">
        <v>832</v>
      </c>
      <c r="F220" s="82" t="s">
        <v>839</v>
      </c>
      <c r="G220" s="65"/>
      <c r="H220" s="65"/>
      <c r="I220" s="17" t="s">
        <v>84</v>
      </c>
      <c r="J220" s="66"/>
      <c r="K220" s="185" t="s">
        <v>328</v>
      </c>
      <c r="L220" s="69" t="s">
        <v>271</v>
      </c>
      <c r="M220" s="14"/>
      <c r="N220" s="14"/>
    </row>
    <row r="221" spans="2:14" ht="60" x14ac:dyDescent="0.25">
      <c r="B221" s="64">
        <v>93</v>
      </c>
      <c r="C221" s="111">
        <v>45987</v>
      </c>
      <c r="D221" s="111"/>
      <c r="E221" s="14" t="s">
        <v>832</v>
      </c>
      <c r="F221" s="82" t="s">
        <v>840</v>
      </c>
      <c r="G221" s="65"/>
      <c r="H221" s="65"/>
      <c r="I221" s="17" t="s">
        <v>84</v>
      </c>
      <c r="J221" s="66"/>
      <c r="K221" s="185" t="s">
        <v>328</v>
      </c>
      <c r="L221" s="69" t="s">
        <v>271</v>
      </c>
      <c r="M221" s="14"/>
      <c r="N221" s="14"/>
    </row>
    <row r="222" spans="2:14" ht="75" x14ac:dyDescent="0.25">
      <c r="B222" s="64">
        <v>94</v>
      </c>
      <c r="C222" s="111">
        <v>45987</v>
      </c>
      <c r="D222" s="111"/>
      <c r="E222" s="14" t="s">
        <v>832</v>
      </c>
      <c r="F222" s="82" t="s">
        <v>839</v>
      </c>
      <c r="G222" s="65"/>
      <c r="H222" s="65"/>
      <c r="I222" s="17" t="s">
        <v>84</v>
      </c>
      <c r="J222" s="66"/>
      <c r="K222" s="185" t="s">
        <v>328</v>
      </c>
      <c r="L222" s="69" t="s">
        <v>271</v>
      </c>
      <c r="M222" s="14"/>
      <c r="N222" s="14" t="s">
        <v>911</v>
      </c>
    </row>
    <row r="223" spans="2:14" ht="30" x14ac:dyDescent="0.25">
      <c r="B223" s="64">
        <v>95</v>
      </c>
      <c r="C223" s="111">
        <v>45987</v>
      </c>
      <c r="D223" s="111"/>
      <c r="E223" s="14" t="s">
        <v>832</v>
      </c>
      <c r="F223" s="82" t="s">
        <v>841</v>
      </c>
      <c r="G223" s="65"/>
      <c r="H223" s="65"/>
      <c r="I223" s="17" t="s">
        <v>84</v>
      </c>
      <c r="J223" s="66"/>
      <c r="K223" s="185" t="s">
        <v>328</v>
      </c>
      <c r="L223" s="69" t="s">
        <v>271</v>
      </c>
      <c r="M223" s="14"/>
      <c r="N223" s="14" t="s">
        <v>911</v>
      </c>
    </row>
    <row r="224" spans="2:14" ht="173.25" x14ac:dyDescent="0.25">
      <c r="B224" s="64">
        <v>96</v>
      </c>
      <c r="C224" s="111">
        <v>45987</v>
      </c>
      <c r="D224" s="111"/>
      <c r="E224" s="14" t="s">
        <v>832</v>
      </c>
      <c r="F224" s="25" t="s">
        <v>842</v>
      </c>
      <c r="G224" s="65"/>
      <c r="H224" s="65"/>
      <c r="I224" s="17" t="s">
        <v>84</v>
      </c>
      <c r="J224" s="66"/>
      <c r="K224" s="105" t="s">
        <v>91</v>
      </c>
      <c r="L224" s="69" t="s">
        <v>271</v>
      </c>
      <c r="M224" s="14"/>
      <c r="N224" s="14"/>
    </row>
    <row r="225" spans="2:14" ht="173.25" x14ac:dyDescent="0.25">
      <c r="B225" s="64">
        <v>97</v>
      </c>
      <c r="C225" s="111">
        <v>45987</v>
      </c>
      <c r="D225" s="111"/>
      <c r="E225" s="14" t="s">
        <v>832</v>
      </c>
      <c r="F225" s="79" t="s">
        <v>843</v>
      </c>
      <c r="G225" s="65"/>
      <c r="H225" s="65"/>
      <c r="I225" s="17" t="s">
        <v>84</v>
      </c>
      <c r="J225" s="66"/>
      <c r="K225" s="185" t="s">
        <v>328</v>
      </c>
      <c r="L225" s="69" t="s">
        <v>271</v>
      </c>
      <c r="M225" s="14"/>
      <c r="N225" s="14" t="s">
        <v>915</v>
      </c>
    </row>
    <row r="226" spans="2:14" ht="105" x14ac:dyDescent="0.25">
      <c r="B226" s="64">
        <v>98</v>
      </c>
      <c r="C226" s="111"/>
      <c r="D226" s="111"/>
      <c r="E226" s="14" t="s">
        <v>832</v>
      </c>
      <c r="F226" s="150" t="s">
        <v>844</v>
      </c>
      <c r="G226" s="65"/>
      <c r="H226" s="65"/>
      <c r="I226" s="17" t="s">
        <v>84</v>
      </c>
      <c r="J226" s="66"/>
      <c r="K226" s="105" t="s">
        <v>91</v>
      </c>
      <c r="L226" s="69" t="s">
        <v>271</v>
      </c>
      <c r="M226" s="14"/>
      <c r="N226" s="14"/>
    </row>
    <row r="227" spans="2:14" ht="150" x14ac:dyDescent="0.25">
      <c r="B227" s="64">
        <v>99</v>
      </c>
      <c r="C227" s="111">
        <v>45987</v>
      </c>
      <c r="D227" s="111"/>
      <c r="E227" s="14" t="s">
        <v>832</v>
      </c>
      <c r="F227" s="14" t="s">
        <v>845</v>
      </c>
      <c r="G227" s="65"/>
      <c r="H227" s="65"/>
      <c r="I227" s="17" t="s">
        <v>84</v>
      </c>
      <c r="J227" s="66"/>
      <c r="K227" s="185" t="s">
        <v>328</v>
      </c>
      <c r="L227" s="69" t="s">
        <v>271</v>
      </c>
      <c r="M227" s="14"/>
      <c r="N227" s="14" t="s">
        <v>912</v>
      </c>
    </row>
    <row r="228" spans="2:14" ht="90" x14ac:dyDescent="0.25">
      <c r="B228" s="64">
        <v>100</v>
      </c>
      <c r="C228" s="111">
        <v>45987</v>
      </c>
      <c r="D228" s="111"/>
      <c r="E228" s="14" t="s">
        <v>832</v>
      </c>
      <c r="F228" s="82" t="s">
        <v>846</v>
      </c>
      <c r="G228" s="65"/>
      <c r="H228" s="65"/>
      <c r="I228" s="17" t="s">
        <v>84</v>
      </c>
      <c r="J228" s="66"/>
      <c r="K228" s="185" t="s">
        <v>328</v>
      </c>
      <c r="L228" s="69" t="s">
        <v>271</v>
      </c>
      <c r="M228" s="14"/>
      <c r="N228" s="14" t="s">
        <v>913</v>
      </c>
    </row>
    <row r="229" spans="2:14" ht="75" x14ac:dyDescent="0.25">
      <c r="B229" s="64">
        <v>101</v>
      </c>
      <c r="C229" s="111">
        <v>45987</v>
      </c>
      <c r="D229" s="133"/>
      <c r="E229" s="14" t="s">
        <v>832</v>
      </c>
      <c r="F229" s="82" t="s">
        <v>847</v>
      </c>
      <c r="G229" s="133"/>
      <c r="H229" s="133"/>
      <c r="I229" s="17" t="s">
        <v>84</v>
      </c>
      <c r="J229" s="133"/>
      <c r="K229" s="185" t="s">
        <v>328</v>
      </c>
      <c r="L229" s="69" t="s">
        <v>271</v>
      </c>
      <c r="M229" s="133"/>
      <c r="N229" s="95" t="s">
        <v>916</v>
      </c>
    </row>
    <row r="230" spans="2:14" ht="75" x14ac:dyDescent="0.25">
      <c r="B230" s="64">
        <v>102</v>
      </c>
      <c r="C230" s="111">
        <v>45987</v>
      </c>
      <c r="D230" s="133"/>
      <c r="E230" s="14" t="s">
        <v>832</v>
      </c>
      <c r="F230" s="82" t="s">
        <v>848</v>
      </c>
      <c r="G230" s="133"/>
      <c r="H230" s="133"/>
      <c r="I230" s="17" t="s">
        <v>84</v>
      </c>
      <c r="J230" s="133"/>
      <c r="K230" s="105" t="s">
        <v>91</v>
      </c>
      <c r="L230" s="69" t="s">
        <v>271</v>
      </c>
      <c r="M230" s="133"/>
      <c r="N230" s="133"/>
    </row>
    <row r="231" spans="2:14" ht="105" x14ac:dyDescent="0.25">
      <c r="B231" s="64">
        <v>103</v>
      </c>
      <c r="C231" s="111">
        <v>46003</v>
      </c>
      <c r="D231" s="133"/>
      <c r="E231" s="14" t="s">
        <v>832</v>
      </c>
      <c r="F231" s="82" t="s">
        <v>865</v>
      </c>
      <c r="G231" s="133"/>
      <c r="H231" s="133"/>
      <c r="I231" s="17" t="s">
        <v>84</v>
      </c>
      <c r="J231" s="133"/>
      <c r="K231" s="105" t="s">
        <v>91</v>
      </c>
      <c r="L231" s="69" t="s">
        <v>179</v>
      </c>
      <c r="M231" s="133"/>
      <c r="N231" s="133"/>
    </row>
    <row r="232" spans="2:14" ht="90" x14ac:dyDescent="0.25">
      <c r="B232" s="64">
        <v>104</v>
      </c>
      <c r="C232" s="111">
        <v>46003</v>
      </c>
      <c r="D232" s="133"/>
      <c r="E232" s="14" t="s">
        <v>832</v>
      </c>
      <c r="F232" s="82" t="s">
        <v>866</v>
      </c>
      <c r="G232" s="133"/>
      <c r="H232" s="133"/>
      <c r="I232" s="17" t="s">
        <v>84</v>
      </c>
      <c r="J232" s="133"/>
      <c r="K232" s="105" t="s">
        <v>91</v>
      </c>
      <c r="L232" s="69" t="s">
        <v>179</v>
      </c>
      <c r="M232" s="133"/>
      <c r="N232" s="133"/>
    </row>
    <row r="233" spans="2:14" ht="105" x14ac:dyDescent="0.25">
      <c r="B233" s="64">
        <v>105</v>
      </c>
      <c r="C233" s="111">
        <v>46003</v>
      </c>
      <c r="D233" s="133"/>
      <c r="E233" s="14" t="s">
        <v>832</v>
      </c>
      <c r="F233" s="82" t="s">
        <v>867</v>
      </c>
      <c r="G233" s="133"/>
      <c r="H233" s="133"/>
      <c r="I233" s="17" t="s">
        <v>84</v>
      </c>
      <c r="J233" s="133"/>
      <c r="K233" s="105" t="s">
        <v>91</v>
      </c>
      <c r="L233" s="69" t="s">
        <v>179</v>
      </c>
      <c r="M233" s="133"/>
      <c r="N233" s="133"/>
    </row>
    <row r="234" spans="2:14" ht="90" x14ac:dyDescent="0.25">
      <c r="B234" s="64">
        <v>106</v>
      </c>
      <c r="C234" s="111">
        <v>46003</v>
      </c>
      <c r="D234" s="133"/>
      <c r="E234" s="14" t="s">
        <v>832</v>
      </c>
      <c r="F234" s="82" t="s">
        <v>868</v>
      </c>
      <c r="G234" s="133"/>
      <c r="H234" s="133"/>
      <c r="I234" s="17" t="s">
        <v>84</v>
      </c>
      <c r="J234" s="133"/>
      <c r="K234" s="105" t="s">
        <v>91</v>
      </c>
      <c r="L234" s="69" t="s">
        <v>179</v>
      </c>
      <c r="M234" s="133"/>
      <c r="N234" s="133"/>
    </row>
    <row r="235" spans="2:14" ht="105" x14ac:dyDescent="0.25">
      <c r="B235" s="64">
        <v>107</v>
      </c>
      <c r="C235" s="111">
        <v>46003</v>
      </c>
      <c r="D235" s="133"/>
      <c r="E235" s="14" t="s">
        <v>832</v>
      </c>
      <c r="F235" s="82" t="s">
        <v>869</v>
      </c>
      <c r="G235" s="133"/>
      <c r="H235" s="133"/>
      <c r="I235" s="17" t="s">
        <v>84</v>
      </c>
      <c r="J235" s="133"/>
      <c r="K235" s="105" t="s">
        <v>91</v>
      </c>
      <c r="L235" s="69" t="s">
        <v>179</v>
      </c>
      <c r="M235" s="133"/>
      <c r="N235" s="133"/>
    </row>
    <row r="236" spans="2:14" ht="75" x14ac:dyDescent="0.25">
      <c r="B236" s="64">
        <v>108</v>
      </c>
      <c r="C236" s="111">
        <v>46003</v>
      </c>
      <c r="D236" s="133"/>
      <c r="E236" s="14" t="s">
        <v>832</v>
      </c>
      <c r="F236" s="82" t="s">
        <v>870</v>
      </c>
      <c r="G236" s="133"/>
      <c r="H236" s="133"/>
      <c r="I236" s="17" t="s">
        <v>84</v>
      </c>
      <c r="J236" s="133"/>
      <c r="K236" s="105" t="s">
        <v>91</v>
      </c>
      <c r="L236" s="69" t="s">
        <v>179</v>
      </c>
      <c r="M236" s="133"/>
      <c r="N236" s="133"/>
    </row>
    <row r="237" spans="2:14" ht="90" x14ac:dyDescent="0.25">
      <c r="B237" s="64">
        <v>109</v>
      </c>
      <c r="C237" s="111">
        <v>46003</v>
      </c>
      <c r="D237" s="133"/>
      <c r="E237" s="14" t="s">
        <v>832</v>
      </c>
      <c r="F237" s="82" t="s">
        <v>871</v>
      </c>
      <c r="G237" s="133"/>
      <c r="H237" s="133"/>
      <c r="I237" s="17" t="s">
        <v>84</v>
      </c>
      <c r="J237" s="133"/>
      <c r="K237" s="105" t="s">
        <v>91</v>
      </c>
      <c r="L237" s="69" t="s">
        <v>179</v>
      </c>
      <c r="M237" s="133"/>
      <c r="N237" s="133"/>
    </row>
    <row r="238" spans="2:14" ht="90" x14ac:dyDescent="0.25">
      <c r="B238" s="64">
        <v>110</v>
      </c>
      <c r="C238" s="111">
        <v>46003</v>
      </c>
      <c r="D238" s="133"/>
      <c r="E238" s="14" t="s">
        <v>832</v>
      </c>
      <c r="F238" s="82" t="s">
        <v>872</v>
      </c>
      <c r="G238" s="133"/>
      <c r="H238" s="133"/>
      <c r="I238" s="17" t="s">
        <v>84</v>
      </c>
      <c r="J238" s="133"/>
      <c r="K238" s="105" t="s">
        <v>91</v>
      </c>
      <c r="L238" s="69" t="s">
        <v>179</v>
      </c>
      <c r="M238" s="133"/>
      <c r="N238" s="133"/>
    </row>
    <row r="239" spans="2:14" ht="75" x14ac:dyDescent="0.25">
      <c r="B239" s="64">
        <v>111</v>
      </c>
      <c r="C239" s="111">
        <v>46003</v>
      </c>
      <c r="D239" s="133"/>
      <c r="E239" s="14" t="s">
        <v>832</v>
      </c>
      <c r="F239" s="82" t="s">
        <v>873</v>
      </c>
      <c r="G239" s="133"/>
      <c r="H239" s="133"/>
      <c r="I239" s="17" t="s">
        <v>84</v>
      </c>
      <c r="J239" s="133"/>
      <c r="K239" s="105" t="s">
        <v>91</v>
      </c>
      <c r="L239" s="69" t="s">
        <v>179</v>
      </c>
      <c r="M239" s="133"/>
      <c r="N239" s="133"/>
    </row>
    <row r="240" spans="2:14" ht="90" x14ac:dyDescent="0.25">
      <c r="B240" s="64">
        <v>112</v>
      </c>
      <c r="C240" s="111">
        <v>46003</v>
      </c>
      <c r="D240" s="133"/>
      <c r="E240" s="14" t="s">
        <v>832</v>
      </c>
      <c r="F240" s="82" t="s">
        <v>874</v>
      </c>
      <c r="G240" s="133"/>
      <c r="H240" s="133"/>
      <c r="I240" s="17" t="s">
        <v>84</v>
      </c>
      <c r="J240" s="133"/>
      <c r="K240" s="105" t="s">
        <v>91</v>
      </c>
      <c r="L240" s="69" t="s">
        <v>179</v>
      </c>
      <c r="M240" s="133"/>
      <c r="N240" s="133"/>
    </row>
    <row r="241" spans="2:14" ht="120" x14ac:dyDescent="0.25">
      <c r="B241" s="64">
        <v>113</v>
      </c>
      <c r="C241" s="111">
        <v>46003</v>
      </c>
      <c r="D241" s="133"/>
      <c r="E241" s="14" t="s">
        <v>832</v>
      </c>
      <c r="F241" s="143" t="s">
        <v>875</v>
      </c>
      <c r="G241" s="133"/>
      <c r="H241" s="133"/>
      <c r="I241" s="17" t="s">
        <v>84</v>
      </c>
      <c r="J241" s="133"/>
      <c r="K241" s="105" t="s">
        <v>91</v>
      </c>
      <c r="L241" s="69" t="s">
        <v>179</v>
      </c>
      <c r="M241" s="133"/>
      <c r="N241" s="133"/>
    </row>
    <row r="242" spans="2:14" ht="105" x14ac:dyDescent="0.25">
      <c r="B242" s="64">
        <v>114</v>
      </c>
      <c r="C242" s="111">
        <v>46003</v>
      </c>
      <c r="D242" s="133"/>
      <c r="E242" s="14" t="s">
        <v>832</v>
      </c>
      <c r="F242" s="143" t="s">
        <v>876</v>
      </c>
      <c r="G242" s="133"/>
      <c r="H242" s="133"/>
      <c r="I242" s="17" t="s">
        <v>84</v>
      </c>
      <c r="J242" s="133"/>
      <c r="K242" s="105" t="s">
        <v>91</v>
      </c>
      <c r="L242" s="69" t="s">
        <v>179</v>
      </c>
      <c r="M242" s="133"/>
      <c r="N242" s="133"/>
    </row>
    <row r="243" spans="2:14" ht="75" x14ac:dyDescent="0.25">
      <c r="B243" s="64">
        <v>115</v>
      </c>
      <c r="C243" s="111">
        <v>46003</v>
      </c>
      <c r="D243" s="133"/>
      <c r="E243" s="14" t="s">
        <v>832</v>
      </c>
      <c r="F243" s="143" t="s">
        <v>877</v>
      </c>
      <c r="G243" s="133"/>
      <c r="H243" s="133"/>
      <c r="I243" s="17" t="s">
        <v>84</v>
      </c>
      <c r="J243" s="133"/>
      <c r="K243" s="105" t="s">
        <v>91</v>
      </c>
      <c r="L243" s="69" t="s">
        <v>179</v>
      </c>
      <c r="M243" s="133"/>
      <c r="N243" s="133"/>
    </row>
    <row r="244" spans="2:14" ht="90" x14ac:dyDescent="0.25">
      <c r="B244" s="64">
        <v>116</v>
      </c>
      <c r="C244" s="111">
        <v>46003</v>
      </c>
      <c r="D244" s="133"/>
      <c r="E244" s="14" t="s">
        <v>832</v>
      </c>
      <c r="F244" s="143" t="s">
        <v>878</v>
      </c>
      <c r="G244" s="133"/>
      <c r="H244" s="133"/>
      <c r="I244" s="17" t="s">
        <v>84</v>
      </c>
      <c r="J244" s="133"/>
      <c r="K244" s="105" t="s">
        <v>91</v>
      </c>
      <c r="L244" s="69" t="s">
        <v>179</v>
      </c>
      <c r="M244" s="133"/>
      <c r="N244" s="133"/>
    </row>
    <row r="245" spans="2:14" ht="105" x14ac:dyDescent="0.25">
      <c r="B245" s="64">
        <v>117</v>
      </c>
      <c r="C245" s="111">
        <v>46003</v>
      </c>
      <c r="D245" s="133"/>
      <c r="E245" s="14" t="s">
        <v>832</v>
      </c>
      <c r="F245" s="143" t="s">
        <v>879</v>
      </c>
      <c r="G245" s="133"/>
      <c r="H245" s="133"/>
      <c r="I245" s="17" t="s">
        <v>84</v>
      </c>
      <c r="J245" s="133"/>
      <c r="K245" s="105" t="s">
        <v>91</v>
      </c>
      <c r="L245" s="69" t="s">
        <v>179</v>
      </c>
      <c r="M245" s="133"/>
      <c r="N245" s="133"/>
    </row>
    <row r="246" spans="2:14" ht="60" x14ac:dyDescent="0.25">
      <c r="B246" s="64">
        <v>118</v>
      </c>
      <c r="C246" s="111">
        <v>46003</v>
      </c>
      <c r="D246" s="133"/>
      <c r="E246" s="14" t="s">
        <v>832</v>
      </c>
      <c r="F246" s="143" t="s">
        <v>880</v>
      </c>
      <c r="G246" s="133"/>
      <c r="H246" s="133"/>
      <c r="I246" s="17" t="s">
        <v>84</v>
      </c>
      <c r="J246" s="133"/>
      <c r="K246" s="105" t="s">
        <v>91</v>
      </c>
      <c r="L246" s="69" t="s">
        <v>179</v>
      </c>
      <c r="M246" s="133"/>
      <c r="N246" s="133"/>
    </row>
    <row r="247" spans="2:14" ht="105" x14ac:dyDescent="0.25">
      <c r="B247" s="64">
        <v>119</v>
      </c>
      <c r="C247" s="111">
        <v>46003</v>
      </c>
      <c r="D247" s="133"/>
      <c r="E247" s="14" t="s">
        <v>832</v>
      </c>
      <c r="F247" s="143" t="s">
        <v>881</v>
      </c>
      <c r="G247" s="133"/>
      <c r="H247" s="133"/>
      <c r="I247" s="17" t="s">
        <v>84</v>
      </c>
      <c r="J247" s="133"/>
      <c r="K247" s="105" t="s">
        <v>91</v>
      </c>
      <c r="L247" s="69" t="s">
        <v>179</v>
      </c>
      <c r="M247" s="133"/>
      <c r="N247" s="133"/>
    </row>
    <row r="248" spans="2:14" ht="75" x14ac:dyDescent="0.25">
      <c r="B248" s="64">
        <v>120</v>
      </c>
      <c r="C248" s="111">
        <v>46003</v>
      </c>
      <c r="D248" s="133"/>
      <c r="E248" s="14" t="s">
        <v>832</v>
      </c>
      <c r="F248" s="143" t="s">
        <v>882</v>
      </c>
      <c r="G248" s="133"/>
      <c r="H248" s="133"/>
      <c r="I248" s="17" t="s">
        <v>84</v>
      </c>
      <c r="J248" s="133"/>
      <c r="K248" s="105" t="s">
        <v>91</v>
      </c>
      <c r="L248" s="69" t="s">
        <v>179</v>
      </c>
      <c r="M248" s="133"/>
      <c r="N248" s="133"/>
    </row>
    <row r="249" spans="2:14" ht="105" x14ac:dyDescent="0.25">
      <c r="B249" s="64">
        <v>121</v>
      </c>
      <c r="C249" s="111">
        <v>46003</v>
      </c>
      <c r="D249" s="133"/>
      <c r="E249" s="14" t="s">
        <v>832</v>
      </c>
      <c r="F249" s="143" t="s">
        <v>883</v>
      </c>
      <c r="G249" s="133"/>
      <c r="H249" s="133"/>
      <c r="I249" s="17" t="s">
        <v>84</v>
      </c>
      <c r="J249" s="133"/>
      <c r="K249" s="105" t="s">
        <v>91</v>
      </c>
      <c r="L249" s="69" t="s">
        <v>179</v>
      </c>
      <c r="M249" s="133"/>
      <c r="N249" s="133"/>
    </row>
    <row r="250" spans="2:14" ht="90" x14ac:dyDescent="0.25">
      <c r="B250" s="64">
        <v>122</v>
      </c>
      <c r="C250" s="111">
        <v>46003</v>
      </c>
      <c r="D250" s="133"/>
      <c r="E250" s="14" t="s">
        <v>832</v>
      </c>
      <c r="F250" s="143" t="s">
        <v>884</v>
      </c>
      <c r="G250" s="133"/>
      <c r="H250" s="133"/>
      <c r="I250" s="17" t="s">
        <v>84</v>
      </c>
      <c r="J250" s="133"/>
      <c r="K250" s="105" t="s">
        <v>91</v>
      </c>
      <c r="L250" s="69" t="s">
        <v>179</v>
      </c>
      <c r="M250" s="133"/>
      <c r="N250" s="133"/>
    </row>
    <row r="251" spans="2:14" ht="120" x14ac:dyDescent="0.25">
      <c r="B251" s="64">
        <v>123</v>
      </c>
      <c r="C251" s="111">
        <v>46003</v>
      </c>
      <c r="D251" s="133"/>
      <c r="E251" s="14" t="s">
        <v>832</v>
      </c>
      <c r="F251" s="143" t="s">
        <v>885</v>
      </c>
      <c r="G251" s="133"/>
      <c r="H251" s="133"/>
      <c r="I251" s="17" t="s">
        <v>84</v>
      </c>
      <c r="J251" s="133"/>
      <c r="K251" s="105" t="s">
        <v>91</v>
      </c>
      <c r="L251" s="69" t="s">
        <v>179</v>
      </c>
      <c r="M251" s="133"/>
      <c r="N251" s="133"/>
    </row>
    <row r="252" spans="2:14" ht="90" x14ac:dyDescent="0.25">
      <c r="B252" s="64">
        <v>124</v>
      </c>
      <c r="C252" s="111">
        <v>46003</v>
      </c>
      <c r="D252" s="133"/>
      <c r="E252" s="14" t="s">
        <v>832</v>
      </c>
      <c r="F252" s="143" t="s">
        <v>886</v>
      </c>
      <c r="G252" s="133"/>
      <c r="H252" s="133"/>
      <c r="I252" s="17" t="s">
        <v>84</v>
      </c>
      <c r="J252" s="133"/>
      <c r="K252" s="105" t="s">
        <v>91</v>
      </c>
      <c r="L252" s="69" t="s">
        <v>179</v>
      </c>
      <c r="M252" s="133"/>
      <c r="N252" s="133"/>
    </row>
    <row r="253" spans="2:14" ht="75" x14ac:dyDescent="0.25">
      <c r="B253" s="64">
        <v>125</v>
      </c>
      <c r="C253" s="111">
        <v>46003</v>
      </c>
      <c r="D253" s="133"/>
      <c r="E253" s="14" t="s">
        <v>832</v>
      </c>
      <c r="F253" s="143" t="s">
        <v>887</v>
      </c>
      <c r="G253" s="133"/>
      <c r="H253" s="133"/>
      <c r="I253" s="17" t="s">
        <v>84</v>
      </c>
      <c r="J253" s="133"/>
      <c r="K253" s="105" t="s">
        <v>91</v>
      </c>
      <c r="L253" s="69" t="s">
        <v>179</v>
      </c>
      <c r="M253" s="133"/>
      <c r="N253" s="133"/>
    </row>
    <row r="254" spans="2:14" x14ac:dyDescent="0.25">
      <c r="C254" s="133"/>
      <c r="D254" s="133"/>
      <c r="E254" s="133"/>
      <c r="F254" s="133"/>
      <c r="G254" s="133"/>
      <c r="H254" s="133"/>
      <c r="I254" s="133"/>
      <c r="J254" s="133"/>
      <c r="K254" s="134"/>
      <c r="L254" s="133"/>
      <c r="M254" s="133"/>
      <c r="N254" s="133"/>
    </row>
    <row r="255" spans="2:14" x14ac:dyDescent="0.25">
      <c r="C255" s="133"/>
      <c r="D255" s="133"/>
      <c r="E255" s="133"/>
      <c r="F255" s="133"/>
      <c r="G255" s="133"/>
      <c r="H255" s="133"/>
      <c r="I255" s="133"/>
      <c r="J255" s="133"/>
      <c r="K255" s="134"/>
      <c r="L255" s="133"/>
      <c r="M255" s="133"/>
      <c r="N255" s="133"/>
    </row>
    <row r="256" spans="2:14" x14ac:dyDescent="0.25">
      <c r="C256" s="133"/>
      <c r="D256" s="133"/>
      <c r="E256" s="133"/>
      <c r="F256" s="133"/>
      <c r="G256" s="133"/>
      <c r="H256" s="133"/>
      <c r="I256" s="133"/>
      <c r="J256" s="133"/>
      <c r="K256" s="134"/>
      <c r="L256" s="133"/>
      <c r="M256" s="133"/>
      <c r="N256" s="133"/>
    </row>
    <row r="257" spans="3:14" x14ac:dyDescent="0.25">
      <c r="C257" s="133"/>
      <c r="D257" s="133"/>
      <c r="E257" s="133"/>
      <c r="F257" s="133"/>
      <c r="G257" s="133"/>
      <c r="H257" s="133"/>
      <c r="I257" s="133"/>
      <c r="J257" s="133"/>
      <c r="K257" s="134"/>
      <c r="L257" s="133"/>
      <c r="M257" s="133"/>
      <c r="N257" s="133"/>
    </row>
    <row r="258" spans="3:14" x14ac:dyDescent="0.25">
      <c r="C258" s="133"/>
      <c r="D258" s="133"/>
      <c r="E258" s="133"/>
      <c r="F258" s="133"/>
      <c r="G258" s="133"/>
      <c r="H258" s="133"/>
      <c r="I258" s="133"/>
      <c r="J258" s="133"/>
      <c r="K258" s="134"/>
      <c r="L258" s="133"/>
      <c r="M258" s="133"/>
      <c r="N258" s="133"/>
    </row>
    <row r="259" spans="3:14" x14ac:dyDescent="0.25">
      <c r="C259" s="133"/>
      <c r="D259" s="133"/>
      <c r="E259" s="133"/>
      <c r="F259" s="133"/>
      <c r="G259" s="133"/>
      <c r="H259" s="133"/>
      <c r="I259" s="133"/>
      <c r="J259" s="133"/>
      <c r="K259" s="134"/>
      <c r="L259" s="133"/>
      <c r="M259" s="133"/>
      <c r="N259" s="133"/>
    </row>
    <row r="260" spans="3:14" x14ac:dyDescent="0.25">
      <c r="C260" s="133"/>
      <c r="D260" s="133"/>
      <c r="E260" s="133"/>
      <c r="F260" s="133"/>
      <c r="G260" s="133"/>
      <c r="H260" s="133"/>
      <c r="I260" s="133"/>
      <c r="J260" s="133"/>
      <c r="K260" s="134"/>
      <c r="L260" s="133"/>
      <c r="M260" s="133"/>
      <c r="N260" s="133"/>
    </row>
    <row r="261" spans="3:14" x14ac:dyDescent="0.25">
      <c r="C261" s="133"/>
      <c r="D261" s="133"/>
      <c r="E261" s="133"/>
      <c r="F261" s="133"/>
      <c r="G261" s="133"/>
      <c r="H261" s="133"/>
      <c r="I261" s="133"/>
      <c r="J261" s="133"/>
      <c r="K261" s="134"/>
      <c r="L261" s="133"/>
      <c r="M261" s="133"/>
      <c r="N261" s="133"/>
    </row>
    <row r="262" spans="3:14" x14ac:dyDescent="0.25">
      <c r="C262" s="133"/>
      <c r="D262" s="133"/>
      <c r="E262" s="133"/>
      <c r="F262" s="133"/>
      <c r="G262" s="133"/>
      <c r="H262" s="133"/>
      <c r="I262" s="133"/>
      <c r="J262" s="133"/>
      <c r="K262" s="134"/>
      <c r="L262" s="133"/>
      <c r="M262" s="133"/>
      <c r="N262" s="133"/>
    </row>
    <row r="263" spans="3:14" x14ac:dyDescent="0.25">
      <c r="C263" s="133"/>
      <c r="D263" s="133"/>
      <c r="E263" s="133"/>
      <c r="F263" s="133"/>
      <c r="G263" s="133"/>
      <c r="H263" s="133"/>
      <c r="I263" s="133"/>
      <c r="J263" s="133"/>
      <c r="K263" s="134"/>
      <c r="L263" s="133"/>
      <c r="M263" s="133"/>
      <c r="N263" s="133"/>
    </row>
    <row r="264" spans="3:14" x14ac:dyDescent="0.25">
      <c r="C264" s="133"/>
      <c r="D264" s="133"/>
      <c r="E264" s="133"/>
      <c r="F264" s="133"/>
      <c r="G264" s="133"/>
      <c r="H264" s="133"/>
      <c r="I264" s="133"/>
      <c r="J264" s="133"/>
      <c r="K264" s="134"/>
      <c r="L264" s="133"/>
      <c r="M264" s="133"/>
      <c r="N264" s="133"/>
    </row>
    <row r="265" spans="3:14" x14ac:dyDescent="0.25">
      <c r="C265" s="133"/>
      <c r="D265" s="133"/>
      <c r="E265" s="133"/>
      <c r="F265" s="133"/>
      <c r="G265" s="133"/>
      <c r="H265" s="133"/>
      <c r="I265" s="133"/>
      <c r="J265" s="133"/>
      <c r="K265" s="134"/>
      <c r="L265" s="133"/>
      <c r="M265" s="133"/>
      <c r="N265" s="133"/>
    </row>
    <row r="266" spans="3:14" x14ac:dyDescent="0.25">
      <c r="C266" s="133"/>
      <c r="D266" s="133"/>
      <c r="E266" s="133"/>
      <c r="F266" s="133"/>
      <c r="G266" s="133"/>
      <c r="H266" s="133"/>
      <c r="I266" s="133"/>
      <c r="J266" s="133"/>
      <c r="K266" s="134"/>
      <c r="L266" s="133"/>
      <c r="M266" s="133"/>
      <c r="N266" s="133"/>
    </row>
    <row r="267" spans="3:14" x14ac:dyDescent="0.25">
      <c r="C267" s="133"/>
      <c r="D267" s="133"/>
      <c r="E267" s="133"/>
      <c r="F267" s="133"/>
      <c r="G267" s="133"/>
      <c r="H267" s="133"/>
      <c r="I267" s="133"/>
      <c r="J267" s="133"/>
      <c r="K267" s="134"/>
      <c r="L267" s="133"/>
      <c r="M267" s="133"/>
      <c r="N267" s="133"/>
    </row>
    <row r="268" spans="3:14" x14ac:dyDescent="0.25">
      <c r="C268" s="133"/>
      <c r="D268" s="133"/>
      <c r="E268" s="133"/>
      <c r="F268" s="133"/>
      <c r="G268" s="133"/>
      <c r="H268" s="133"/>
      <c r="I268" s="133"/>
      <c r="J268" s="133"/>
      <c r="K268" s="134"/>
      <c r="L268" s="133"/>
      <c r="M268" s="133"/>
      <c r="N268" s="133"/>
    </row>
    <row r="269" spans="3:14" x14ac:dyDescent="0.25">
      <c r="C269" s="133"/>
      <c r="D269" s="133"/>
      <c r="E269" s="133"/>
      <c r="F269" s="133"/>
      <c r="G269" s="133"/>
      <c r="H269" s="133"/>
      <c r="I269" s="133"/>
      <c r="J269" s="133"/>
      <c r="K269" s="134"/>
      <c r="L269" s="133"/>
      <c r="M269" s="133"/>
      <c r="N269" s="133"/>
    </row>
    <row r="270" spans="3:14" x14ac:dyDescent="0.25">
      <c r="C270" s="133"/>
      <c r="D270" s="133"/>
      <c r="E270" s="133"/>
      <c r="F270" s="133"/>
      <c r="G270" s="133"/>
      <c r="H270" s="133"/>
      <c r="I270" s="133"/>
      <c r="J270" s="133"/>
      <c r="K270" s="134"/>
      <c r="L270" s="133"/>
      <c r="M270" s="133"/>
      <c r="N270" s="133"/>
    </row>
    <row r="271" spans="3:14" x14ac:dyDescent="0.25">
      <c r="C271" s="133"/>
      <c r="D271" s="133"/>
      <c r="E271" s="133"/>
      <c r="F271" s="133"/>
      <c r="G271" s="133"/>
      <c r="H271" s="133"/>
      <c r="I271" s="133"/>
      <c r="J271" s="133"/>
      <c r="K271" s="134"/>
      <c r="L271" s="133"/>
      <c r="M271" s="133"/>
      <c r="N271" s="133"/>
    </row>
  </sheetData>
  <autoFilter ref="K2:L228"/>
  <mergeCells count="13">
    <mergeCell ref="N2:N3"/>
    <mergeCell ref="D2:D3"/>
    <mergeCell ref="M2:M3"/>
    <mergeCell ref="K1:M1"/>
    <mergeCell ref="L2:L3"/>
    <mergeCell ref="B1:E1"/>
    <mergeCell ref="F1:J1"/>
    <mergeCell ref="B2:B3"/>
    <mergeCell ref="C2:C3"/>
    <mergeCell ref="E2:E3"/>
    <mergeCell ref="F2:F3"/>
    <mergeCell ref="K2:K3"/>
    <mergeCell ref="G2:J2"/>
  </mergeCells>
  <hyperlinks>
    <hyperlink ref="G3" r:id="rId1"/>
  </hyperlinks>
  <pageMargins left="0.2" right="0.2" top="0" bottom="0" header="0.3" footer="0.3"/>
  <pageSetup paperSize="9" scale="63" fitToHeight="0" orientation="landscape" horizontalDpi="300" verticalDpi="3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S72"/>
  <sheetViews>
    <sheetView topLeftCell="A10" zoomScale="90" zoomScaleNormal="90" workbookViewId="0">
      <selection activeCell="N12" sqref="N12"/>
    </sheetView>
  </sheetViews>
  <sheetFormatPr defaultRowHeight="15" x14ac:dyDescent="0.25"/>
  <cols>
    <col min="1" max="1" width="3" customWidth="1"/>
    <col min="2" max="2" width="5.85546875" customWidth="1"/>
    <col min="3" max="3" width="11" customWidth="1"/>
    <col min="4" max="4" width="12.5703125" customWidth="1"/>
    <col min="5" max="5" width="12.85546875" customWidth="1"/>
    <col min="6" max="6" width="13.5703125" customWidth="1"/>
    <col min="7" max="8" width="12.85546875" customWidth="1"/>
    <col min="9" max="9" width="34.42578125" style="9" customWidth="1"/>
    <col min="10" max="10" width="21.7109375" customWidth="1"/>
    <col min="11" max="11" width="11" customWidth="1"/>
    <col min="12" max="12" width="15.140625" customWidth="1"/>
    <col min="13" max="13" width="12.5703125" customWidth="1"/>
    <col min="14" max="14" width="15" customWidth="1"/>
    <col min="15" max="15" width="12.42578125" customWidth="1"/>
    <col min="16" max="16" width="11.140625" customWidth="1"/>
    <col min="17" max="17" width="11.42578125" customWidth="1"/>
    <col min="18" max="18" width="32.85546875" style="9" customWidth="1"/>
    <col min="19" max="19" width="21.42578125" customWidth="1"/>
    <col min="20" max="20" width="21.28515625" customWidth="1"/>
    <col min="21" max="21" width="29" customWidth="1"/>
    <col min="22" max="22" width="27.7109375" customWidth="1"/>
  </cols>
  <sheetData>
    <row r="1" spans="2:19" ht="101.25" customHeight="1" thickBot="1" x14ac:dyDescent="0.3">
      <c r="B1" s="217" t="s">
        <v>16</v>
      </c>
      <c r="C1" s="218"/>
      <c r="D1" s="218"/>
      <c r="E1" s="218"/>
      <c r="F1" s="219"/>
      <c r="G1" s="206" t="s">
        <v>831</v>
      </c>
      <c r="H1" s="207"/>
      <c r="I1" s="207"/>
      <c r="J1" s="207"/>
      <c r="K1" s="207"/>
      <c r="L1" s="207"/>
      <c r="M1" s="207"/>
      <c r="N1" s="208"/>
      <c r="O1" s="214" t="s">
        <v>0</v>
      </c>
      <c r="P1" s="215"/>
      <c r="Q1" s="215"/>
      <c r="R1" s="215"/>
      <c r="S1" s="216"/>
    </row>
    <row r="2" spans="2:19" ht="23.25" customHeight="1" thickBot="1" x14ac:dyDescent="0.3">
      <c r="B2" s="220" t="s">
        <v>1</v>
      </c>
      <c r="C2" s="209" t="s">
        <v>17</v>
      </c>
      <c r="D2" s="222" t="s">
        <v>4</v>
      </c>
      <c r="E2" s="209" t="s">
        <v>18</v>
      </c>
      <c r="F2" s="209" t="s">
        <v>19</v>
      </c>
      <c r="G2" s="209" t="s">
        <v>20</v>
      </c>
      <c r="H2" s="209" t="s">
        <v>21</v>
      </c>
      <c r="I2" s="224" t="s">
        <v>22</v>
      </c>
      <c r="J2" s="87"/>
      <c r="K2" s="209" t="s">
        <v>23</v>
      </c>
      <c r="L2" s="204" t="s">
        <v>24</v>
      </c>
      <c r="M2" s="226"/>
      <c r="N2" s="209" t="s">
        <v>25</v>
      </c>
      <c r="O2" s="204" t="s">
        <v>26</v>
      </c>
      <c r="P2" s="205"/>
      <c r="Q2" s="205"/>
      <c r="R2" s="212" t="s">
        <v>27</v>
      </c>
      <c r="S2" s="209" t="s">
        <v>28</v>
      </c>
    </row>
    <row r="3" spans="2:19" ht="62.25" customHeight="1" thickBot="1" x14ac:dyDescent="0.3">
      <c r="B3" s="221"/>
      <c r="C3" s="211"/>
      <c r="D3" s="223"/>
      <c r="E3" s="211"/>
      <c r="F3" s="211"/>
      <c r="G3" s="211"/>
      <c r="H3" s="211"/>
      <c r="I3" s="225"/>
      <c r="J3" s="88" t="s">
        <v>29</v>
      </c>
      <c r="K3" s="211"/>
      <c r="L3" s="87" t="s">
        <v>30</v>
      </c>
      <c r="M3" s="87" t="s">
        <v>31</v>
      </c>
      <c r="N3" s="211"/>
      <c r="O3" s="22" t="s">
        <v>32</v>
      </c>
      <c r="P3" s="87" t="s">
        <v>33</v>
      </c>
      <c r="Q3" s="22" t="s">
        <v>34</v>
      </c>
      <c r="R3" s="213"/>
      <c r="S3" s="210"/>
    </row>
    <row r="4" spans="2:19" s="46" customFormat="1" ht="105" x14ac:dyDescent="0.25">
      <c r="B4" s="20">
        <v>1</v>
      </c>
      <c r="C4" s="111">
        <v>45716</v>
      </c>
      <c r="D4" s="20" t="s">
        <v>151</v>
      </c>
      <c r="E4" s="20" t="s">
        <v>152</v>
      </c>
      <c r="F4" s="20" t="s">
        <v>153</v>
      </c>
      <c r="G4" s="20" t="s">
        <v>154</v>
      </c>
      <c r="H4" s="74" t="s">
        <v>155</v>
      </c>
      <c r="I4" s="19" t="s">
        <v>156</v>
      </c>
      <c r="J4" s="20"/>
      <c r="K4" s="20" t="s">
        <v>87</v>
      </c>
      <c r="L4" s="17" t="s">
        <v>157</v>
      </c>
      <c r="M4" s="17" t="s">
        <v>157</v>
      </c>
      <c r="N4" s="20" t="s">
        <v>158</v>
      </c>
      <c r="O4" s="111">
        <v>45716</v>
      </c>
      <c r="P4" s="20"/>
      <c r="Q4" s="20" t="s">
        <v>328</v>
      </c>
      <c r="R4" s="19" t="s">
        <v>330</v>
      </c>
      <c r="S4" s="43"/>
    </row>
    <row r="5" spans="2:19" s="46" customFormat="1" ht="120" x14ac:dyDescent="0.25">
      <c r="B5" s="20">
        <v>2</v>
      </c>
      <c r="C5" s="111">
        <v>45691</v>
      </c>
      <c r="D5" s="20" t="s">
        <v>83</v>
      </c>
      <c r="E5" s="20" t="s">
        <v>229</v>
      </c>
      <c r="F5" s="20"/>
      <c r="G5" s="20" t="s">
        <v>154</v>
      </c>
      <c r="H5" s="74" t="s">
        <v>791</v>
      </c>
      <c r="I5" s="82" t="s">
        <v>139</v>
      </c>
      <c r="J5" s="20"/>
      <c r="K5" s="20" t="s">
        <v>99</v>
      </c>
      <c r="L5" s="17" t="s">
        <v>195</v>
      </c>
      <c r="M5" s="17" t="s">
        <v>157</v>
      </c>
      <c r="N5" s="69" t="s">
        <v>101</v>
      </c>
      <c r="O5" s="111">
        <v>45691</v>
      </c>
      <c r="P5" s="20"/>
      <c r="Q5" s="20" t="s">
        <v>328</v>
      </c>
      <c r="R5" s="19" t="s">
        <v>792</v>
      </c>
      <c r="S5" s="43"/>
    </row>
    <row r="6" spans="2:19" s="46" customFormat="1" ht="105" x14ac:dyDescent="0.25">
      <c r="B6" s="20">
        <v>3</v>
      </c>
      <c r="C6" s="111">
        <v>45735</v>
      </c>
      <c r="D6" s="14" t="s">
        <v>83</v>
      </c>
      <c r="E6" s="20" t="s">
        <v>230</v>
      </c>
      <c r="F6" s="20"/>
      <c r="G6" s="20" t="s">
        <v>154</v>
      </c>
      <c r="H6" s="74" t="s">
        <v>791</v>
      </c>
      <c r="I6" s="82" t="s">
        <v>188</v>
      </c>
      <c r="J6" s="20"/>
      <c r="K6" s="20" t="s">
        <v>99</v>
      </c>
      <c r="L6" s="17" t="s">
        <v>195</v>
      </c>
      <c r="M6" s="17" t="s">
        <v>157</v>
      </c>
      <c r="N6" s="29" t="s">
        <v>190</v>
      </c>
      <c r="O6" s="111">
        <v>45736</v>
      </c>
      <c r="P6" s="20"/>
      <c r="Q6" s="20" t="s">
        <v>328</v>
      </c>
      <c r="R6" s="14" t="s">
        <v>793</v>
      </c>
      <c r="S6" s="43"/>
    </row>
    <row r="7" spans="2:19" ht="409.5" x14ac:dyDescent="0.25">
      <c r="B7" s="20">
        <v>4</v>
      </c>
      <c r="C7" s="75">
        <v>45740</v>
      </c>
      <c r="D7" s="17" t="s">
        <v>192</v>
      </c>
      <c r="E7" s="20" t="s">
        <v>261</v>
      </c>
      <c r="F7" s="20" t="s">
        <v>153</v>
      </c>
      <c r="G7" s="20" t="s">
        <v>154</v>
      </c>
      <c r="H7" s="74" t="s">
        <v>193</v>
      </c>
      <c r="I7" s="82" t="s">
        <v>194</v>
      </c>
      <c r="J7" s="17" t="s">
        <v>587</v>
      </c>
      <c r="K7" s="17" t="s">
        <v>109</v>
      </c>
      <c r="L7" s="17" t="s">
        <v>195</v>
      </c>
      <c r="M7" s="17" t="s">
        <v>157</v>
      </c>
      <c r="N7" s="126" t="s">
        <v>96</v>
      </c>
      <c r="O7" s="98">
        <v>45740</v>
      </c>
      <c r="P7" s="43"/>
      <c r="Q7" s="20" t="s">
        <v>328</v>
      </c>
      <c r="R7" s="19" t="s">
        <v>196</v>
      </c>
      <c r="S7" s="17" t="s">
        <v>574</v>
      </c>
    </row>
    <row r="8" spans="2:19" ht="94.5" customHeight="1" x14ac:dyDescent="0.25">
      <c r="B8" s="20">
        <v>5</v>
      </c>
      <c r="C8" s="98">
        <v>45763</v>
      </c>
      <c r="D8" s="17" t="s">
        <v>228</v>
      </c>
      <c r="E8" s="20" t="s">
        <v>696</v>
      </c>
      <c r="F8" s="20" t="s">
        <v>153</v>
      </c>
      <c r="G8" s="20" t="s">
        <v>154</v>
      </c>
      <c r="H8" s="74" t="s">
        <v>155</v>
      </c>
      <c r="I8" s="82" t="s">
        <v>227</v>
      </c>
      <c r="J8" s="44" t="s">
        <v>231</v>
      </c>
      <c r="K8" s="17" t="s">
        <v>109</v>
      </c>
      <c r="L8" s="17" t="s">
        <v>195</v>
      </c>
      <c r="M8" s="17" t="s">
        <v>157</v>
      </c>
      <c r="N8" s="44" t="s">
        <v>232</v>
      </c>
      <c r="O8" s="62"/>
      <c r="P8" s="43"/>
      <c r="Q8" s="105" t="s">
        <v>91</v>
      </c>
      <c r="R8" s="19" t="s">
        <v>316</v>
      </c>
      <c r="S8" s="44" t="s">
        <v>601</v>
      </c>
    </row>
    <row r="9" spans="2:19" ht="103.5" customHeight="1" x14ac:dyDescent="0.25">
      <c r="B9" s="20">
        <v>6</v>
      </c>
      <c r="C9" s="75">
        <v>45783</v>
      </c>
      <c r="D9" s="20" t="s">
        <v>192</v>
      </c>
      <c r="E9" s="20" t="s">
        <v>475</v>
      </c>
      <c r="F9" s="40"/>
      <c r="G9" s="20" t="s">
        <v>263</v>
      </c>
      <c r="H9" s="74" t="s">
        <v>262</v>
      </c>
      <c r="I9" s="82" t="s">
        <v>259</v>
      </c>
      <c r="J9" s="43"/>
      <c r="K9" s="20" t="s">
        <v>99</v>
      </c>
      <c r="L9" s="20" t="s">
        <v>157</v>
      </c>
      <c r="M9" s="20" t="s">
        <v>157</v>
      </c>
      <c r="N9" s="20" t="s">
        <v>158</v>
      </c>
      <c r="O9" s="70"/>
      <c r="P9" s="40"/>
      <c r="Q9" s="71" t="s">
        <v>110</v>
      </c>
      <c r="R9" s="40"/>
      <c r="S9" s="40" t="s">
        <v>302</v>
      </c>
    </row>
    <row r="10" spans="2:19" ht="83.25" customHeight="1" x14ac:dyDescent="0.25">
      <c r="B10" s="20">
        <v>7</v>
      </c>
      <c r="C10" s="75">
        <v>45821</v>
      </c>
      <c r="D10" s="20" t="s">
        <v>575</v>
      </c>
      <c r="E10" s="20" t="s">
        <v>576</v>
      </c>
      <c r="F10" s="20" t="s">
        <v>224</v>
      </c>
      <c r="G10" s="20" t="s">
        <v>263</v>
      </c>
      <c r="H10" s="74" t="s">
        <v>580</v>
      </c>
      <c r="I10" s="24" t="s">
        <v>578</v>
      </c>
      <c r="J10" s="43"/>
      <c r="K10" s="20" t="s">
        <v>99</v>
      </c>
      <c r="L10" s="20" t="s">
        <v>157</v>
      </c>
      <c r="M10" s="20" t="s">
        <v>195</v>
      </c>
      <c r="N10" s="20" t="s">
        <v>158</v>
      </c>
      <c r="O10" s="70"/>
      <c r="P10" s="40"/>
      <c r="Q10" s="104" t="s">
        <v>110</v>
      </c>
      <c r="R10" s="14" t="s">
        <v>579</v>
      </c>
      <c r="S10" s="40"/>
    </row>
    <row r="11" spans="2:19" ht="90" x14ac:dyDescent="0.25">
      <c r="B11" s="20">
        <v>8</v>
      </c>
      <c r="C11" s="75">
        <v>45852</v>
      </c>
      <c r="D11" s="20" t="s">
        <v>228</v>
      </c>
      <c r="E11" s="20" t="s">
        <v>577</v>
      </c>
      <c r="F11" s="20" t="s">
        <v>186</v>
      </c>
      <c r="G11" s="20" t="s">
        <v>357</v>
      </c>
      <c r="H11" s="74" t="s">
        <v>155</v>
      </c>
      <c r="I11" s="106" t="s">
        <v>356</v>
      </c>
      <c r="J11" s="20"/>
      <c r="K11" s="20" t="s">
        <v>109</v>
      </c>
      <c r="L11" s="20" t="s">
        <v>301</v>
      </c>
      <c r="M11" s="20" t="s">
        <v>157</v>
      </c>
      <c r="N11" s="20" t="s">
        <v>158</v>
      </c>
      <c r="O11" s="71">
        <v>45852</v>
      </c>
      <c r="P11" s="20"/>
      <c r="Q11" s="104" t="s">
        <v>110</v>
      </c>
      <c r="R11" s="20" t="s">
        <v>358</v>
      </c>
      <c r="S11" s="40" t="s">
        <v>803</v>
      </c>
    </row>
    <row r="12" spans="2:19" ht="45" x14ac:dyDescent="0.25">
      <c r="B12" s="20">
        <v>9</v>
      </c>
      <c r="C12" s="147">
        <v>45861</v>
      </c>
      <c r="D12" s="20" t="s">
        <v>586</v>
      </c>
      <c r="E12" s="20" t="s">
        <v>653</v>
      </c>
      <c r="F12" s="20"/>
      <c r="G12" s="20" t="s">
        <v>357</v>
      </c>
      <c r="H12" s="74" t="s">
        <v>476</v>
      </c>
      <c r="I12" s="44" t="s">
        <v>474</v>
      </c>
      <c r="J12" s="40"/>
      <c r="K12" s="20" t="s">
        <v>99</v>
      </c>
      <c r="L12" s="20" t="s">
        <v>195</v>
      </c>
      <c r="M12" s="20" t="s">
        <v>157</v>
      </c>
      <c r="N12" s="152" t="s">
        <v>477</v>
      </c>
      <c r="O12" s="71"/>
      <c r="P12" s="40"/>
      <c r="Q12" s="152" t="s">
        <v>111</v>
      </c>
      <c r="R12" s="20"/>
      <c r="S12" s="20"/>
    </row>
    <row r="13" spans="2:19" ht="120" x14ac:dyDescent="0.25">
      <c r="B13" s="20">
        <v>10</v>
      </c>
      <c r="C13" s="75">
        <v>45888</v>
      </c>
      <c r="D13" s="20" t="s">
        <v>228</v>
      </c>
      <c r="E13" s="20" t="s">
        <v>759</v>
      </c>
      <c r="F13" s="17" t="s">
        <v>654</v>
      </c>
      <c r="G13" s="20" t="s">
        <v>263</v>
      </c>
      <c r="H13" s="74" t="s">
        <v>155</v>
      </c>
      <c r="I13" s="18" t="s">
        <v>649</v>
      </c>
      <c r="J13" s="20"/>
      <c r="K13" s="20" t="s">
        <v>99</v>
      </c>
      <c r="L13" s="20" t="s">
        <v>195</v>
      </c>
      <c r="M13" s="20" t="s">
        <v>157</v>
      </c>
      <c r="N13" s="20" t="s">
        <v>158</v>
      </c>
      <c r="O13" s="20"/>
      <c r="P13" s="20"/>
      <c r="Q13" s="104" t="s">
        <v>110</v>
      </c>
      <c r="R13" s="20" t="s">
        <v>658</v>
      </c>
      <c r="S13" s="14"/>
    </row>
    <row r="14" spans="2:19" ht="150" x14ac:dyDescent="0.25">
      <c r="B14" s="20">
        <v>11</v>
      </c>
      <c r="C14" s="75">
        <v>45914</v>
      </c>
      <c r="D14" s="19" t="s">
        <v>83</v>
      </c>
      <c r="E14" s="20" t="s">
        <v>794</v>
      </c>
      <c r="F14" s="17"/>
      <c r="G14" s="20" t="s">
        <v>263</v>
      </c>
      <c r="H14" s="74" t="s">
        <v>791</v>
      </c>
      <c r="I14" s="150" t="s">
        <v>672</v>
      </c>
      <c r="J14" s="20"/>
      <c r="K14" s="20" t="s">
        <v>99</v>
      </c>
      <c r="L14" s="20" t="s">
        <v>195</v>
      </c>
      <c r="M14" s="20" t="s">
        <v>157</v>
      </c>
      <c r="N14" s="30" t="s">
        <v>394</v>
      </c>
      <c r="O14" s="20"/>
      <c r="P14" s="20"/>
      <c r="Q14" s="105" t="s">
        <v>91</v>
      </c>
      <c r="R14" s="20"/>
      <c r="S14" s="14"/>
    </row>
    <row r="15" spans="2:19" ht="225" x14ac:dyDescent="0.25">
      <c r="B15" s="20">
        <v>12</v>
      </c>
      <c r="C15" s="75">
        <v>45961</v>
      </c>
      <c r="D15" s="20" t="s">
        <v>228</v>
      </c>
      <c r="E15" s="20" t="s">
        <v>795</v>
      </c>
      <c r="F15" s="20" t="s">
        <v>186</v>
      </c>
      <c r="G15" s="20" t="s">
        <v>263</v>
      </c>
      <c r="H15" s="74" t="s">
        <v>713</v>
      </c>
      <c r="I15" s="30" t="s">
        <v>714</v>
      </c>
      <c r="J15" s="20"/>
      <c r="K15" s="20" t="s">
        <v>99</v>
      </c>
      <c r="L15" s="20" t="s">
        <v>195</v>
      </c>
      <c r="M15" s="20" t="s">
        <v>157</v>
      </c>
      <c r="N15" s="20" t="s">
        <v>158</v>
      </c>
      <c r="O15" s="75">
        <v>45961</v>
      </c>
      <c r="P15" s="75">
        <v>45991</v>
      </c>
      <c r="Q15" s="20" t="s">
        <v>110</v>
      </c>
      <c r="R15" s="19" t="s">
        <v>715</v>
      </c>
      <c r="S15" s="20"/>
    </row>
    <row r="16" spans="2:19" ht="135" x14ac:dyDescent="0.25">
      <c r="B16" s="20">
        <v>13</v>
      </c>
      <c r="C16" s="75">
        <v>45964</v>
      </c>
      <c r="D16" s="20" t="s">
        <v>151</v>
      </c>
      <c r="E16" s="20" t="s">
        <v>796</v>
      </c>
      <c r="F16" s="20" t="s">
        <v>224</v>
      </c>
      <c r="G16" s="20" t="s">
        <v>263</v>
      </c>
      <c r="H16" s="74" t="s">
        <v>155</v>
      </c>
      <c r="I16" s="82" t="s">
        <v>758</v>
      </c>
      <c r="J16" s="20"/>
      <c r="K16" s="20" t="s">
        <v>99</v>
      </c>
      <c r="L16" s="20" t="s">
        <v>195</v>
      </c>
      <c r="M16" s="20" t="s">
        <v>157</v>
      </c>
      <c r="N16" s="20" t="s">
        <v>158</v>
      </c>
      <c r="O16" s="75">
        <v>45964</v>
      </c>
      <c r="P16" s="20"/>
      <c r="Q16" s="20" t="s">
        <v>110</v>
      </c>
      <c r="R16" s="19" t="s">
        <v>760</v>
      </c>
      <c r="S16" s="20" t="s">
        <v>761</v>
      </c>
    </row>
    <row r="17" spans="2:19" ht="110.25" x14ac:dyDescent="0.25">
      <c r="B17" s="20">
        <v>14</v>
      </c>
      <c r="C17" s="75">
        <v>45989</v>
      </c>
      <c r="D17" s="20" t="s">
        <v>151</v>
      </c>
      <c r="E17" s="20" t="s">
        <v>797</v>
      </c>
      <c r="F17" s="20" t="s">
        <v>224</v>
      </c>
      <c r="G17" s="20" t="s">
        <v>263</v>
      </c>
      <c r="H17" s="74" t="s">
        <v>155</v>
      </c>
      <c r="I17" s="82" t="s">
        <v>762</v>
      </c>
      <c r="J17" s="20"/>
      <c r="K17" s="20" t="s">
        <v>87</v>
      </c>
      <c r="L17" s="20" t="s">
        <v>195</v>
      </c>
      <c r="M17" s="20" t="s">
        <v>157</v>
      </c>
      <c r="N17" s="20" t="s">
        <v>158</v>
      </c>
      <c r="O17" s="75"/>
      <c r="P17" s="20"/>
      <c r="Q17" s="20" t="s">
        <v>110</v>
      </c>
      <c r="R17" s="69" t="s">
        <v>763</v>
      </c>
      <c r="S17" s="20"/>
    </row>
    <row r="18" spans="2:19" ht="15.75" x14ac:dyDescent="0.25">
      <c r="B18" s="43"/>
      <c r="C18" s="20"/>
      <c r="D18" s="20"/>
      <c r="E18" s="20"/>
      <c r="F18" s="17"/>
      <c r="G18" s="20"/>
      <c r="H18" s="74"/>
      <c r="I18" s="77"/>
      <c r="J18" s="20"/>
      <c r="K18" s="20"/>
      <c r="L18" s="20"/>
      <c r="M18" s="20"/>
      <c r="N18" s="20"/>
      <c r="O18" s="75"/>
      <c r="P18" s="20"/>
      <c r="Q18" s="20"/>
      <c r="R18" s="181"/>
      <c r="S18" s="20"/>
    </row>
    <row r="19" spans="2:19" ht="15.75" x14ac:dyDescent="0.25">
      <c r="B19" s="43"/>
      <c r="C19" s="20"/>
      <c r="D19" s="20"/>
      <c r="E19" s="20"/>
      <c r="F19" s="17"/>
      <c r="G19" s="20"/>
      <c r="H19" s="74"/>
      <c r="I19" s="77"/>
      <c r="J19" s="20"/>
      <c r="K19" s="20"/>
      <c r="L19" s="20"/>
      <c r="M19" s="20"/>
      <c r="N19" s="20"/>
      <c r="O19" s="75"/>
      <c r="P19" s="20"/>
      <c r="Q19" s="20"/>
      <c r="R19" s="181"/>
      <c r="S19" s="20"/>
    </row>
    <row r="20" spans="2:19" ht="15.75" x14ac:dyDescent="0.25">
      <c r="B20" s="43"/>
      <c r="C20" s="20"/>
      <c r="D20" s="20"/>
      <c r="E20" s="20"/>
      <c r="F20" s="17"/>
      <c r="G20" s="20"/>
      <c r="H20" s="74"/>
      <c r="I20" s="77"/>
      <c r="J20" s="20"/>
      <c r="K20" s="20"/>
      <c r="L20" s="20"/>
      <c r="M20" s="20"/>
      <c r="N20" s="20"/>
      <c r="O20" s="75"/>
      <c r="P20" s="20"/>
      <c r="Q20" s="20"/>
      <c r="R20" s="77"/>
      <c r="S20" s="20"/>
    </row>
    <row r="21" spans="2:19" ht="15.75" x14ac:dyDescent="0.25">
      <c r="B21" s="43"/>
      <c r="C21" s="20"/>
      <c r="D21" s="20"/>
      <c r="E21" s="20"/>
      <c r="F21" s="17"/>
      <c r="G21" s="20"/>
      <c r="H21" s="74"/>
      <c r="I21" s="77"/>
      <c r="J21" s="20"/>
      <c r="K21" s="20"/>
      <c r="L21" s="20"/>
      <c r="M21" s="20"/>
      <c r="N21" s="20"/>
      <c r="O21" s="75"/>
      <c r="P21" s="20"/>
      <c r="Q21" s="20"/>
      <c r="R21" s="77"/>
      <c r="S21" s="20"/>
    </row>
    <row r="22" spans="2:19" ht="15.75" x14ac:dyDescent="0.25">
      <c r="B22" s="43"/>
      <c r="C22" s="20"/>
      <c r="D22" s="20"/>
      <c r="E22" s="20"/>
      <c r="F22" s="17"/>
      <c r="G22" s="20"/>
      <c r="H22" s="74"/>
      <c r="I22" s="77"/>
      <c r="J22" s="20"/>
      <c r="K22" s="20"/>
      <c r="L22" s="20"/>
      <c r="M22" s="20"/>
      <c r="N22" s="20"/>
      <c r="O22" s="75"/>
      <c r="P22" s="20"/>
      <c r="Q22" s="20"/>
      <c r="R22" s="77"/>
      <c r="S22" s="20"/>
    </row>
    <row r="23" spans="2:19" ht="15.75" x14ac:dyDescent="0.25">
      <c r="B23" s="43"/>
      <c r="C23" s="20"/>
      <c r="D23" s="20"/>
      <c r="E23" s="20"/>
      <c r="F23" s="17"/>
      <c r="G23" s="20"/>
      <c r="H23" s="74"/>
      <c r="I23" s="77"/>
      <c r="J23" s="20"/>
      <c r="K23" s="20"/>
      <c r="L23" s="20"/>
      <c r="M23" s="20"/>
      <c r="N23" s="20"/>
      <c r="O23" s="75"/>
      <c r="P23" s="20"/>
      <c r="Q23" s="20"/>
      <c r="R23" s="77"/>
      <c r="S23" s="20"/>
    </row>
    <row r="24" spans="2:19" ht="15.75" x14ac:dyDescent="0.25">
      <c r="B24" s="20"/>
      <c r="C24" s="20"/>
      <c r="D24" s="20"/>
      <c r="E24" s="20"/>
      <c r="F24" s="20"/>
      <c r="G24" s="20"/>
      <c r="H24" s="20"/>
      <c r="I24" s="20"/>
      <c r="J24" s="20"/>
      <c r="K24" s="20"/>
      <c r="L24" s="20"/>
      <c r="M24" s="20"/>
      <c r="N24" s="20"/>
      <c r="O24" s="75"/>
      <c r="P24" s="20"/>
      <c r="Q24" s="20"/>
      <c r="R24" s="77"/>
      <c r="S24" s="20"/>
    </row>
    <row r="25" spans="2:19" x14ac:dyDescent="0.25">
      <c r="B25" s="7"/>
      <c r="C25" s="7"/>
      <c r="D25" s="7"/>
      <c r="E25" s="7"/>
      <c r="F25" s="7"/>
      <c r="G25" s="7"/>
      <c r="H25" s="7"/>
      <c r="I25" s="47"/>
      <c r="J25" s="7"/>
      <c r="K25" s="7"/>
      <c r="L25" s="7"/>
      <c r="M25" s="7"/>
      <c r="N25" s="7"/>
      <c r="O25" s="7"/>
      <c r="P25" s="7"/>
      <c r="Q25" s="7"/>
      <c r="R25" s="47"/>
    </row>
    <row r="26" spans="2:19" x14ac:dyDescent="0.25">
      <c r="B26" s="7"/>
      <c r="C26" s="7"/>
      <c r="D26" s="7"/>
      <c r="E26" s="7"/>
      <c r="F26" s="7"/>
      <c r="G26" s="7"/>
      <c r="H26" s="7"/>
      <c r="I26" s="47"/>
      <c r="J26" s="7"/>
      <c r="K26" s="7"/>
      <c r="L26" s="7"/>
      <c r="M26" s="7"/>
      <c r="N26" s="7"/>
      <c r="O26" s="7"/>
      <c r="P26" s="7"/>
      <c r="Q26" s="7"/>
      <c r="R26" s="47"/>
    </row>
    <row r="27" spans="2:19" x14ac:dyDescent="0.25">
      <c r="B27" s="7"/>
      <c r="C27" s="7"/>
      <c r="D27" s="7"/>
      <c r="E27" s="7"/>
      <c r="F27" s="7"/>
      <c r="G27" s="7"/>
      <c r="H27" s="7"/>
      <c r="I27" s="47"/>
      <c r="J27" s="7"/>
      <c r="K27" s="7"/>
      <c r="L27" s="7"/>
      <c r="M27" s="7"/>
      <c r="N27" s="7"/>
      <c r="O27" s="7"/>
      <c r="P27" s="7"/>
      <c r="Q27" s="7"/>
      <c r="R27" s="47"/>
    </row>
    <row r="28" spans="2:19" x14ac:dyDescent="0.25">
      <c r="B28" s="7"/>
      <c r="C28" s="7"/>
      <c r="D28" s="7"/>
      <c r="E28" s="7"/>
      <c r="F28" s="7"/>
      <c r="G28" s="7"/>
      <c r="H28" s="7"/>
      <c r="I28" s="47"/>
      <c r="J28" s="7"/>
      <c r="K28" s="7"/>
      <c r="L28" s="7"/>
      <c r="M28" s="7"/>
      <c r="N28" s="7"/>
      <c r="O28" s="7"/>
      <c r="P28" s="7"/>
      <c r="Q28" s="7"/>
      <c r="R28" s="47"/>
    </row>
    <row r="29" spans="2:19" x14ac:dyDescent="0.25">
      <c r="B29" s="7"/>
      <c r="C29" s="7"/>
      <c r="D29" s="7"/>
      <c r="E29" s="7"/>
      <c r="F29" s="7"/>
      <c r="G29" s="7"/>
      <c r="H29" s="7"/>
      <c r="I29" s="47"/>
      <c r="J29" s="7"/>
      <c r="K29" s="7"/>
      <c r="L29" s="7"/>
      <c r="M29" s="7"/>
      <c r="N29" s="7"/>
      <c r="O29" s="7"/>
      <c r="P29" s="7"/>
      <c r="Q29" s="7"/>
      <c r="R29" s="47"/>
    </row>
    <row r="30" spans="2:19" x14ac:dyDescent="0.25">
      <c r="B30" s="7"/>
      <c r="C30" s="7"/>
      <c r="D30" s="7"/>
      <c r="E30" s="7"/>
      <c r="F30" s="7"/>
      <c r="G30" s="7"/>
      <c r="H30" s="7"/>
      <c r="I30" s="47"/>
      <c r="J30" s="7"/>
      <c r="K30" s="7"/>
      <c r="L30" s="7"/>
      <c r="M30" s="7"/>
      <c r="N30" s="7"/>
      <c r="O30" s="7"/>
      <c r="P30" s="7"/>
      <c r="Q30" s="7"/>
      <c r="R30" s="47"/>
    </row>
    <row r="31" spans="2:19" x14ac:dyDescent="0.25">
      <c r="B31" s="7"/>
      <c r="C31" s="7"/>
      <c r="D31" s="7"/>
      <c r="E31" s="7"/>
      <c r="F31" s="7"/>
      <c r="G31" s="7"/>
      <c r="H31" s="7"/>
      <c r="I31" s="47"/>
      <c r="J31" s="7"/>
      <c r="K31" s="7"/>
      <c r="L31" s="7"/>
      <c r="M31" s="7"/>
      <c r="N31" s="7"/>
      <c r="O31" s="7"/>
      <c r="P31" s="7"/>
      <c r="Q31" s="7"/>
      <c r="R31" s="47"/>
    </row>
    <row r="32" spans="2:19" x14ac:dyDescent="0.25">
      <c r="B32" s="7"/>
      <c r="C32" s="7"/>
      <c r="D32" s="7"/>
      <c r="E32" s="7"/>
      <c r="F32" s="7"/>
      <c r="G32" s="7"/>
      <c r="H32" s="7"/>
      <c r="I32" s="47"/>
      <c r="J32" s="7"/>
      <c r="K32" s="7"/>
      <c r="L32" s="7"/>
      <c r="M32" s="7"/>
      <c r="N32" s="7"/>
      <c r="O32" s="7"/>
      <c r="P32" s="7"/>
      <c r="Q32" s="7"/>
      <c r="R32" s="47"/>
    </row>
    <row r="33" spans="2:18" x14ac:dyDescent="0.25">
      <c r="B33" s="7"/>
      <c r="C33" s="7"/>
      <c r="D33" s="7"/>
      <c r="E33" s="7"/>
      <c r="F33" s="7"/>
      <c r="G33" s="7"/>
      <c r="H33" s="7"/>
      <c r="I33" s="47"/>
      <c r="J33" s="7"/>
      <c r="K33" s="7"/>
      <c r="L33" s="7"/>
      <c r="M33" s="7"/>
      <c r="N33" s="7"/>
      <c r="O33" s="7"/>
      <c r="P33" s="7"/>
      <c r="Q33" s="7"/>
      <c r="R33" s="47"/>
    </row>
    <row r="34" spans="2:18" x14ac:dyDescent="0.25">
      <c r="B34" s="7"/>
      <c r="C34" s="7"/>
      <c r="D34" s="7"/>
      <c r="E34" s="7"/>
      <c r="F34" s="7"/>
      <c r="G34" s="7"/>
      <c r="H34" s="7"/>
      <c r="I34" s="47"/>
      <c r="J34" s="7"/>
      <c r="K34" s="7"/>
      <c r="L34" s="7"/>
      <c r="M34" s="7"/>
      <c r="N34" s="7"/>
      <c r="O34" s="7"/>
      <c r="P34" s="7"/>
      <c r="Q34" s="7"/>
      <c r="R34" s="47"/>
    </row>
    <row r="35" spans="2:18" x14ac:dyDescent="0.25">
      <c r="B35" s="7"/>
      <c r="C35" s="7"/>
      <c r="D35" s="7"/>
      <c r="E35" s="7"/>
      <c r="F35" s="7"/>
      <c r="G35" s="7"/>
      <c r="H35" s="7"/>
      <c r="I35" s="47"/>
      <c r="J35" s="7"/>
      <c r="K35" s="7"/>
      <c r="L35" s="7"/>
      <c r="M35" s="7"/>
      <c r="N35" s="7"/>
      <c r="O35" s="7"/>
      <c r="P35" s="7"/>
      <c r="Q35" s="7"/>
      <c r="R35" s="47"/>
    </row>
    <row r="36" spans="2:18" x14ac:dyDescent="0.25">
      <c r="B36" s="7"/>
      <c r="C36" s="7"/>
      <c r="D36" s="7"/>
      <c r="E36" s="7"/>
      <c r="F36" s="7"/>
      <c r="G36" s="7"/>
      <c r="H36" s="7"/>
      <c r="I36" s="47"/>
      <c r="J36" s="7"/>
      <c r="K36" s="7"/>
      <c r="L36" s="7"/>
      <c r="M36" s="7"/>
      <c r="N36" s="7"/>
      <c r="O36" s="7"/>
      <c r="P36" s="7"/>
      <c r="Q36" s="7"/>
      <c r="R36" s="47"/>
    </row>
    <row r="37" spans="2:18" x14ac:dyDescent="0.25">
      <c r="B37" s="7"/>
      <c r="C37" s="7"/>
      <c r="D37" s="7"/>
      <c r="E37" s="7"/>
      <c r="F37" s="7"/>
      <c r="G37" s="7"/>
      <c r="H37" s="7"/>
      <c r="I37" s="47"/>
      <c r="J37" s="7"/>
      <c r="K37" s="7"/>
      <c r="L37" s="7"/>
      <c r="M37" s="7"/>
      <c r="N37" s="7"/>
      <c r="O37" s="7"/>
      <c r="P37" s="7"/>
      <c r="Q37" s="7"/>
      <c r="R37" s="47"/>
    </row>
    <row r="38" spans="2:18" x14ac:dyDescent="0.25">
      <c r="B38" s="7"/>
      <c r="C38" s="7"/>
      <c r="D38" s="7"/>
      <c r="E38" s="7"/>
      <c r="F38" s="7"/>
      <c r="G38" s="7"/>
      <c r="H38" s="7"/>
      <c r="I38" s="47"/>
      <c r="J38" s="7"/>
      <c r="K38" s="7"/>
      <c r="L38" s="7"/>
      <c r="M38" s="7"/>
      <c r="N38" s="7"/>
      <c r="O38" s="7"/>
      <c r="P38" s="7"/>
      <c r="Q38" s="7"/>
      <c r="R38" s="47"/>
    </row>
    <row r="39" spans="2:18" x14ac:dyDescent="0.25">
      <c r="B39" s="7"/>
      <c r="C39" s="7"/>
      <c r="D39" s="7"/>
      <c r="E39" s="7"/>
      <c r="F39" s="7"/>
      <c r="G39" s="7"/>
      <c r="H39" s="7"/>
      <c r="I39" s="47"/>
      <c r="J39" s="7"/>
      <c r="K39" s="7"/>
      <c r="L39" s="7"/>
      <c r="M39" s="7"/>
      <c r="N39" s="7"/>
      <c r="O39" s="7"/>
      <c r="P39" s="7"/>
      <c r="Q39" s="7"/>
      <c r="R39" s="47"/>
    </row>
    <row r="40" spans="2:18" x14ac:dyDescent="0.25">
      <c r="B40" s="7"/>
      <c r="C40" s="7"/>
      <c r="D40" s="7"/>
      <c r="E40" s="7"/>
      <c r="F40" s="7"/>
      <c r="G40" s="7"/>
      <c r="H40" s="7"/>
      <c r="I40" s="47"/>
      <c r="J40" s="7"/>
      <c r="K40" s="7"/>
      <c r="L40" s="7"/>
      <c r="M40" s="7"/>
      <c r="N40" s="7"/>
      <c r="O40" s="7"/>
      <c r="P40" s="7"/>
      <c r="Q40" s="7"/>
      <c r="R40" s="47"/>
    </row>
    <row r="41" spans="2:18" x14ac:dyDescent="0.25">
      <c r="B41" s="7"/>
      <c r="C41" s="7"/>
      <c r="D41" s="7"/>
      <c r="E41" s="7"/>
      <c r="F41" s="7"/>
      <c r="G41" s="7"/>
      <c r="H41" s="7"/>
      <c r="I41" s="47"/>
      <c r="J41" s="7"/>
      <c r="K41" s="7"/>
      <c r="L41" s="7"/>
      <c r="M41" s="7"/>
      <c r="N41" s="7"/>
      <c r="O41" s="7"/>
      <c r="P41" s="7"/>
      <c r="Q41" s="7"/>
      <c r="R41" s="47"/>
    </row>
    <row r="42" spans="2:18" x14ac:dyDescent="0.25">
      <c r="B42" s="7"/>
      <c r="C42" s="7"/>
      <c r="D42" s="7"/>
      <c r="E42" s="7"/>
      <c r="F42" s="7"/>
      <c r="G42" s="7"/>
      <c r="H42" s="7"/>
      <c r="I42" s="47"/>
      <c r="J42" s="7"/>
      <c r="K42" s="7"/>
      <c r="L42" s="7"/>
      <c r="M42" s="7"/>
      <c r="N42" s="7"/>
      <c r="O42" s="7"/>
      <c r="P42" s="7"/>
      <c r="Q42" s="7"/>
      <c r="R42" s="47"/>
    </row>
    <row r="43" spans="2:18" x14ac:dyDescent="0.25">
      <c r="B43" s="7"/>
      <c r="C43" s="7"/>
      <c r="D43" s="7"/>
      <c r="E43" s="7"/>
      <c r="F43" s="7"/>
      <c r="G43" s="7"/>
      <c r="H43" s="7"/>
      <c r="I43" s="47"/>
      <c r="J43" s="7"/>
      <c r="K43" s="7"/>
      <c r="L43" s="7"/>
      <c r="M43" s="7"/>
      <c r="N43" s="7"/>
      <c r="O43" s="7"/>
      <c r="P43" s="7"/>
      <c r="Q43" s="7"/>
      <c r="R43" s="47"/>
    </row>
    <row r="44" spans="2:18" x14ac:dyDescent="0.25">
      <c r="B44" s="7"/>
      <c r="C44" s="7"/>
      <c r="D44" s="7"/>
      <c r="E44" s="7"/>
      <c r="F44" s="7"/>
      <c r="G44" s="7"/>
      <c r="H44" s="7"/>
      <c r="I44" s="47"/>
      <c r="J44" s="7"/>
      <c r="K44" s="7"/>
      <c r="L44" s="7"/>
      <c r="M44" s="7"/>
      <c r="N44" s="7"/>
      <c r="O44" s="7"/>
      <c r="P44" s="7"/>
      <c r="Q44" s="7"/>
      <c r="R44" s="47"/>
    </row>
    <row r="45" spans="2:18" x14ac:dyDescent="0.25">
      <c r="B45" s="7"/>
      <c r="C45" s="7"/>
      <c r="D45" s="7"/>
      <c r="E45" s="7"/>
      <c r="F45" s="7"/>
      <c r="G45" s="7"/>
      <c r="H45" s="7"/>
      <c r="I45" s="47"/>
      <c r="J45" s="7"/>
      <c r="K45" s="7"/>
      <c r="L45" s="7"/>
      <c r="M45" s="7"/>
      <c r="N45" s="7"/>
      <c r="O45" s="7"/>
      <c r="P45" s="7"/>
      <c r="Q45" s="7"/>
      <c r="R45" s="47"/>
    </row>
    <row r="46" spans="2:18" x14ac:dyDescent="0.25">
      <c r="B46" s="7"/>
      <c r="C46" s="7"/>
      <c r="D46" s="7"/>
      <c r="E46" s="7"/>
      <c r="F46" s="7"/>
      <c r="G46" s="7"/>
      <c r="H46" s="7"/>
      <c r="I46" s="47"/>
      <c r="J46" s="7"/>
      <c r="K46" s="7"/>
      <c r="L46" s="7"/>
      <c r="M46" s="7"/>
      <c r="N46" s="7"/>
      <c r="O46" s="7"/>
      <c r="P46" s="7"/>
      <c r="Q46" s="7"/>
      <c r="R46" s="47"/>
    </row>
    <row r="47" spans="2:18" x14ac:dyDescent="0.25">
      <c r="B47" s="7"/>
      <c r="C47" s="7"/>
      <c r="D47" s="7"/>
      <c r="E47" s="7"/>
      <c r="F47" s="7"/>
      <c r="G47" s="7"/>
      <c r="H47" s="7"/>
      <c r="I47" s="47"/>
      <c r="J47" s="7"/>
      <c r="K47" s="7"/>
      <c r="L47" s="7"/>
      <c r="M47" s="7"/>
      <c r="N47" s="7"/>
      <c r="O47" s="7"/>
      <c r="P47" s="7"/>
      <c r="Q47" s="7"/>
      <c r="R47" s="47"/>
    </row>
    <row r="48" spans="2:18" x14ac:dyDescent="0.25">
      <c r="B48" s="7"/>
      <c r="C48" s="7"/>
      <c r="D48" s="7"/>
      <c r="E48" s="7"/>
      <c r="F48" s="7"/>
      <c r="G48" s="7"/>
      <c r="H48" s="7"/>
      <c r="I48" s="47"/>
      <c r="J48" s="7"/>
      <c r="K48" s="7"/>
      <c r="L48" s="7"/>
      <c r="M48" s="7"/>
      <c r="N48" s="7"/>
      <c r="O48" s="7"/>
      <c r="P48" s="7"/>
      <c r="Q48" s="7"/>
      <c r="R48" s="47"/>
    </row>
    <row r="49" spans="2:18" x14ac:dyDescent="0.25">
      <c r="B49" s="7"/>
      <c r="C49" s="7"/>
      <c r="D49" s="7"/>
      <c r="E49" s="7"/>
      <c r="F49" s="7"/>
      <c r="G49" s="7"/>
      <c r="H49" s="7"/>
      <c r="I49" s="47"/>
      <c r="J49" s="7"/>
      <c r="K49" s="7"/>
      <c r="L49" s="7"/>
      <c r="M49" s="7"/>
      <c r="N49" s="7"/>
      <c r="O49" s="7"/>
      <c r="P49" s="7"/>
      <c r="Q49" s="7"/>
      <c r="R49" s="47"/>
    </row>
    <row r="50" spans="2:18" x14ac:dyDescent="0.25">
      <c r="B50" s="7"/>
      <c r="C50" s="7"/>
      <c r="D50" s="7"/>
      <c r="E50" s="7"/>
      <c r="F50" s="7"/>
      <c r="G50" s="7"/>
      <c r="H50" s="7"/>
      <c r="I50" s="47"/>
      <c r="J50" s="7"/>
      <c r="K50" s="7"/>
      <c r="L50" s="7"/>
      <c r="M50" s="7"/>
      <c r="N50" s="7"/>
      <c r="O50" s="7"/>
      <c r="P50" s="7"/>
      <c r="Q50" s="7"/>
      <c r="R50" s="47"/>
    </row>
    <row r="51" spans="2:18" x14ac:dyDescent="0.25">
      <c r="B51" s="7"/>
      <c r="C51" s="7"/>
      <c r="D51" s="7"/>
      <c r="E51" s="7"/>
      <c r="F51" s="7"/>
      <c r="G51" s="7"/>
      <c r="H51" s="7"/>
      <c r="I51" s="47"/>
      <c r="J51" s="7"/>
      <c r="K51" s="7"/>
      <c r="L51" s="7"/>
      <c r="M51" s="7"/>
      <c r="N51" s="7"/>
      <c r="O51" s="7"/>
      <c r="P51" s="7"/>
      <c r="Q51" s="7"/>
      <c r="R51" s="47"/>
    </row>
    <row r="52" spans="2:18" x14ac:dyDescent="0.25">
      <c r="B52" s="7"/>
      <c r="C52" s="7"/>
      <c r="D52" s="7"/>
      <c r="E52" s="7"/>
      <c r="F52" s="7"/>
      <c r="G52" s="7"/>
      <c r="H52" s="7"/>
      <c r="I52" s="47"/>
      <c r="J52" s="7"/>
      <c r="K52" s="7"/>
      <c r="L52" s="7"/>
      <c r="M52" s="7"/>
      <c r="N52" s="7"/>
      <c r="O52" s="7"/>
      <c r="P52" s="7"/>
      <c r="Q52" s="7"/>
      <c r="R52" s="47"/>
    </row>
    <row r="53" spans="2:18" x14ac:dyDescent="0.25">
      <c r="B53" s="7"/>
      <c r="C53" s="7"/>
      <c r="D53" s="7"/>
      <c r="E53" s="7"/>
      <c r="F53" s="7"/>
      <c r="G53" s="7"/>
      <c r="H53" s="7"/>
      <c r="I53" s="47"/>
      <c r="J53" s="7"/>
      <c r="K53" s="7"/>
      <c r="L53" s="7"/>
      <c r="M53" s="7"/>
      <c r="N53" s="7"/>
      <c r="O53" s="7"/>
      <c r="P53" s="7"/>
      <c r="Q53" s="7"/>
      <c r="R53" s="47"/>
    </row>
    <row r="54" spans="2:18" x14ac:dyDescent="0.25">
      <c r="B54" s="7"/>
      <c r="C54" s="7"/>
      <c r="D54" s="7"/>
      <c r="E54" s="7"/>
      <c r="F54" s="7"/>
      <c r="G54" s="7"/>
      <c r="H54" s="7"/>
      <c r="I54" s="47"/>
      <c r="J54" s="7"/>
      <c r="K54" s="7"/>
      <c r="L54" s="7"/>
      <c r="M54" s="7"/>
      <c r="N54" s="7"/>
      <c r="O54" s="7"/>
      <c r="P54" s="7"/>
      <c r="Q54" s="7"/>
      <c r="R54" s="47"/>
    </row>
    <row r="55" spans="2:18" x14ac:dyDescent="0.25">
      <c r="B55" s="7"/>
      <c r="C55" s="7"/>
      <c r="D55" s="7"/>
      <c r="E55" s="7"/>
      <c r="F55" s="7"/>
      <c r="G55" s="7"/>
      <c r="H55" s="7"/>
      <c r="I55" s="47"/>
      <c r="J55" s="7"/>
      <c r="K55" s="7"/>
      <c r="L55" s="7"/>
      <c r="M55" s="7"/>
      <c r="N55" s="7"/>
      <c r="O55" s="7"/>
      <c r="P55" s="7"/>
      <c r="Q55" s="7"/>
      <c r="R55" s="47"/>
    </row>
    <row r="56" spans="2:18" x14ac:dyDescent="0.25">
      <c r="B56" s="7"/>
      <c r="C56" s="7"/>
      <c r="D56" s="7"/>
      <c r="E56" s="7"/>
      <c r="F56" s="7"/>
      <c r="G56" s="7"/>
      <c r="H56" s="7"/>
      <c r="I56" s="47"/>
      <c r="J56" s="7"/>
      <c r="K56" s="7"/>
      <c r="L56" s="7"/>
      <c r="M56" s="7"/>
      <c r="N56" s="7"/>
      <c r="O56" s="7"/>
      <c r="P56" s="7"/>
      <c r="Q56" s="7"/>
      <c r="R56" s="47"/>
    </row>
    <row r="57" spans="2:18" x14ac:dyDescent="0.25">
      <c r="B57" s="7"/>
      <c r="C57" s="7"/>
      <c r="D57" s="7"/>
      <c r="E57" s="7"/>
      <c r="F57" s="7"/>
      <c r="G57" s="7"/>
      <c r="H57" s="7"/>
      <c r="I57" s="47"/>
      <c r="J57" s="7"/>
      <c r="K57" s="7"/>
      <c r="L57" s="7"/>
      <c r="M57" s="7"/>
      <c r="N57" s="7"/>
      <c r="O57" s="7"/>
      <c r="P57" s="7"/>
      <c r="Q57" s="7"/>
      <c r="R57" s="47"/>
    </row>
    <row r="58" spans="2:18" x14ac:dyDescent="0.25">
      <c r="B58" s="7"/>
      <c r="C58" s="7"/>
      <c r="D58" s="7"/>
      <c r="E58" s="7"/>
      <c r="F58" s="7"/>
      <c r="G58" s="7"/>
      <c r="H58" s="7"/>
      <c r="I58" s="47"/>
      <c r="J58" s="7"/>
      <c r="K58" s="7"/>
      <c r="L58" s="7"/>
      <c r="M58" s="7"/>
      <c r="N58" s="7"/>
      <c r="O58" s="7"/>
      <c r="P58" s="7"/>
      <c r="Q58" s="7"/>
      <c r="R58" s="47"/>
    </row>
    <row r="59" spans="2:18" x14ac:dyDescent="0.25">
      <c r="B59" s="7"/>
      <c r="C59" s="7"/>
      <c r="D59" s="7"/>
      <c r="E59" s="7"/>
      <c r="F59" s="7"/>
      <c r="G59" s="7"/>
      <c r="H59" s="7"/>
      <c r="I59" s="47"/>
      <c r="J59" s="7"/>
      <c r="K59" s="7"/>
      <c r="L59" s="7"/>
      <c r="M59" s="7"/>
      <c r="N59" s="7"/>
      <c r="O59" s="7"/>
      <c r="P59" s="7"/>
      <c r="Q59" s="7"/>
      <c r="R59" s="47"/>
    </row>
    <row r="60" spans="2:18" x14ac:dyDescent="0.25">
      <c r="B60" s="7"/>
      <c r="C60" s="7"/>
      <c r="D60" s="7"/>
      <c r="E60" s="7"/>
      <c r="F60" s="7"/>
      <c r="G60" s="7"/>
      <c r="H60" s="7"/>
      <c r="I60" s="47"/>
      <c r="J60" s="7"/>
      <c r="K60" s="7"/>
      <c r="L60" s="7"/>
      <c r="M60" s="7"/>
      <c r="N60" s="7"/>
      <c r="O60" s="7"/>
      <c r="P60" s="7"/>
      <c r="Q60" s="7"/>
      <c r="R60" s="47"/>
    </row>
    <row r="61" spans="2:18" x14ac:dyDescent="0.25">
      <c r="B61" s="7"/>
      <c r="C61" s="7"/>
      <c r="D61" s="7"/>
      <c r="E61" s="7"/>
      <c r="F61" s="7"/>
      <c r="G61" s="7"/>
      <c r="H61" s="7"/>
      <c r="I61" s="47"/>
      <c r="J61" s="7"/>
      <c r="K61" s="7"/>
      <c r="L61" s="7"/>
      <c r="M61" s="7"/>
      <c r="N61" s="7"/>
      <c r="O61" s="7"/>
      <c r="P61" s="7"/>
      <c r="Q61" s="7"/>
      <c r="R61" s="47"/>
    </row>
    <row r="62" spans="2:18" x14ac:dyDescent="0.25">
      <c r="B62" s="7"/>
      <c r="C62" s="7"/>
      <c r="D62" s="7"/>
      <c r="E62" s="7"/>
      <c r="F62" s="7"/>
      <c r="G62" s="7"/>
      <c r="H62" s="7"/>
      <c r="I62" s="47"/>
      <c r="J62" s="7"/>
      <c r="K62" s="7"/>
      <c r="L62" s="7"/>
      <c r="M62" s="7"/>
      <c r="N62" s="7"/>
      <c r="O62" s="7"/>
      <c r="P62" s="7"/>
      <c r="Q62" s="7"/>
      <c r="R62" s="47"/>
    </row>
    <row r="63" spans="2:18" x14ac:dyDescent="0.25">
      <c r="B63" s="7"/>
      <c r="C63" s="7"/>
      <c r="D63" s="7"/>
      <c r="E63" s="7"/>
      <c r="F63" s="7"/>
      <c r="G63" s="7"/>
      <c r="H63" s="7"/>
      <c r="I63" s="47"/>
      <c r="J63" s="7"/>
      <c r="K63" s="7"/>
      <c r="L63" s="7"/>
      <c r="M63" s="7"/>
      <c r="N63" s="7"/>
      <c r="O63" s="7"/>
      <c r="P63" s="7"/>
      <c r="Q63" s="7"/>
      <c r="R63" s="47"/>
    </row>
    <row r="64" spans="2:18" x14ac:dyDescent="0.25">
      <c r="B64" s="7"/>
      <c r="C64" s="7"/>
      <c r="D64" s="7"/>
      <c r="E64" s="7"/>
      <c r="F64" s="7"/>
      <c r="G64" s="7"/>
      <c r="H64" s="7"/>
      <c r="I64" s="47"/>
      <c r="J64" s="7"/>
      <c r="K64" s="7"/>
      <c r="L64" s="7"/>
      <c r="M64" s="7"/>
      <c r="N64" s="7"/>
      <c r="O64" s="7"/>
      <c r="P64" s="7"/>
      <c r="Q64" s="7"/>
      <c r="R64" s="47"/>
    </row>
    <row r="65" spans="2:18" x14ac:dyDescent="0.25">
      <c r="B65" s="7"/>
      <c r="C65" s="7"/>
      <c r="D65" s="7"/>
      <c r="E65" s="7"/>
      <c r="F65" s="7"/>
      <c r="G65" s="7"/>
      <c r="H65" s="7"/>
      <c r="I65" s="47"/>
      <c r="J65" s="7"/>
      <c r="K65" s="7"/>
      <c r="L65" s="7"/>
      <c r="M65" s="7"/>
      <c r="N65" s="7"/>
      <c r="O65" s="7"/>
      <c r="P65" s="7"/>
      <c r="Q65" s="7"/>
      <c r="R65" s="47"/>
    </row>
    <row r="66" spans="2:18" x14ac:dyDescent="0.25">
      <c r="B66" s="7"/>
      <c r="C66" s="7"/>
      <c r="D66" s="7"/>
      <c r="E66" s="7"/>
      <c r="F66" s="7"/>
      <c r="G66" s="7"/>
      <c r="H66" s="7"/>
      <c r="I66" s="47"/>
      <c r="J66" s="7"/>
      <c r="K66" s="7"/>
      <c r="L66" s="7"/>
      <c r="M66" s="7"/>
      <c r="N66" s="7"/>
      <c r="O66" s="7"/>
      <c r="P66" s="7"/>
      <c r="Q66" s="7"/>
      <c r="R66" s="47"/>
    </row>
    <row r="67" spans="2:18" x14ac:dyDescent="0.25">
      <c r="B67" s="7"/>
      <c r="C67" s="7"/>
      <c r="D67" s="7"/>
      <c r="E67" s="7"/>
      <c r="F67" s="7"/>
      <c r="G67" s="7"/>
      <c r="H67" s="7"/>
      <c r="I67" s="47"/>
      <c r="J67" s="7"/>
      <c r="K67" s="7"/>
      <c r="L67" s="7"/>
      <c r="M67" s="7"/>
      <c r="N67" s="7"/>
      <c r="O67" s="7"/>
      <c r="P67" s="7"/>
      <c r="Q67" s="7"/>
      <c r="R67" s="47"/>
    </row>
    <row r="68" spans="2:18" x14ac:dyDescent="0.25">
      <c r="B68" s="7"/>
      <c r="C68" s="7"/>
      <c r="D68" s="7"/>
      <c r="E68" s="7"/>
      <c r="F68" s="7"/>
      <c r="G68" s="7"/>
      <c r="H68" s="7"/>
      <c r="I68" s="47"/>
      <c r="J68" s="7"/>
      <c r="K68" s="7"/>
      <c r="L68" s="7"/>
      <c r="M68" s="7"/>
      <c r="N68" s="7"/>
      <c r="O68" s="7"/>
      <c r="P68" s="7"/>
      <c r="Q68" s="7"/>
      <c r="R68" s="47"/>
    </row>
    <row r="69" spans="2:18" x14ac:dyDescent="0.25">
      <c r="B69" s="7"/>
      <c r="C69" s="7"/>
      <c r="D69" s="7"/>
      <c r="E69" s="7"/>
      <c r="F69" s="7"/>
      <c r="G69" s="7"/>
      <c r="H69" s="7"/>
      <c r="I69" s="47"/>
      <c r="J69" s="7"/>
      <c r="K69" s="7"/>
      <c r="L69" s="7"/>
      <c r="M69" s="7"/>
      <c r="N69" s="7"/>
      <c r="O69" s="7"/>
      <c r="P69" s="7"/>
      <c r="Q69" s="7"/>
      <c r="R69" s="47"/>
    </row>
    <row r="70" spans="2:18" x14ac:dyDescent="0.25">
      <c r="B70" s="7"/>
      <c r="C70" s="7"/>
      <c r="D70" s="7"/>
      <c r="E70" s="7"/>
      <c r="F70" s="7"/>
      <c r="G70" s="7"/>
      <c r="H70" s="7"/>
      <c r="I70" s="47"/>
      <c r="J70" s="7"/>
      <c r="K70" s="7"/>
      <c r="L70" s="7"/>
      <c r="M70" s="7"/>
      <c r="N70" s="7"/>
      <c r="O70" s="7"/>
      <c r="P70" s="7"/>
      <c r="Q70" s="7"/>
      <c r="R70" s="47"/>
    </row>
    <row r="71" spans="2:18" x14ac:dyDescent="0.25">
      <c r="B71" s="7"/>
      <c r="C71" s="7"/>
      <c r="D71" s="7"/>
      <c r="E71" s="7"/>
      <c r="F71" s="7"/>
      <c r="G71" s="7"/>
      <c r="H71" s="7"/>
      <c r="I71" s="47"/>
      <c r="J71" s="7"/>
      <c r="K71" s="7"/>
      <c r="L71" s="7"/>
      <c r="M71" s="7"/>
      <c r="N71" s="7"/>
      <c r="O71" s="7"/>
      <c r="P71" s="7"/>
      <c r="Q71" s="7"/>
      <c r="R71" s="47"/>
    </row>
    <row r="72" spans="2:18" x14ac:dyDescent="0.25">
      <c r="J72" s="7"/>
      <c r="K72" s="7"/>
      <c r="L72" s="7"/>
      <c r="M72" s="7"/>
      <c r="N72" s="7"/>
      <c r="O72" s="7"/>
      <c r="P72" s="7"/>
      <c r="Q72" s="7"/>
      <c r="R72" s="47"/>
    </row>
  </sheetData>
  <autoFilter ref="H2:H23"/>
  <mergeCells count="17">
    <mergeCell ref="L2:M2"/>
    <mergeCell ref="O2:Q2"/>
    <mergeCell ref="G1:N1"/>
    <mergeCell ref="S2:S3"/>
    <mergeCell ref="F2:F3"/>
    <mergeCell ref="R2:R3"/>
    <mergeCell ref="O1:S1"/>
    <mergeCell ref="B1:F1"/>
    <mergeCell ref="B2:B3"/>
    <mergeCell ref="C2:C3"/>
    <mergeCell ref="D2:D3"/>
    <mergeCell ref="E2:E3"/>
    <mergeCell ref="G2:G3"/>
    <mergeCell ref="H2:H3"/>
    <mergeCell ref="I2:I3"/>
    <mergeCell ref="K2:K3"/>
    <mergeCell ref="N2:N3"/>
  </mergeCells>
  <pageMargins left="0" right="0" top="0" bottom="0" header="0" footer="0"/>
  <pageSetup paperSize="9" scale="50"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230"/>
  <sheetViews>
    <sheetView topLeftCell="D189" zoomScale="90" zoomScaleNormal="90" workbookViewId="0">
      <selection activeCell="M187" sqref="M187:M188"/>
    </sheetView>
  </sheetViews>
  <sheetFormatPr defaultRowHeight="15" x14ac:dyDescent="0.25"/>
  <cols>
    <col min="1" max="1" width="3" customWidth="1"/>
    <col min="2" max="2" width="7.140625" style="7" customWidth="1"/>
    <col min="3" max="3" width="17.140625" style="5" customWidth="1"/>
    <col min="4" max="4" width="17.85546875" style="6" customWidth="1"/>
    <col min="5" max="5" width="9.5703125" style="7" customWidth="1"/>
    <col min="6" max="6" width="19.85546875" style="11" customWidth="1"/>
    <col min="7" max="7" width="42.28515625" style="7" customWidth="1"/>
    <col min="8" max="8" width="9.7109375" style="7" customWidth="1"/>
    <col min="9" max="9" width="9.28515625" style="6" customWidth="1"/>
    <col min="10" max="10" width="12.7109375" style="7" customWidth="1"/>
    <col min="11" max="11" width="21.5703125" style="8" customWidth="1"/>
    <col min="12" max="12" width="10.85546875" style="8" customWidth="1"/>
    <col min="13" max="13" width="15.140625" style="7" customWidth="1"/>
    <col min="14" max="14" width="33.42578125" style="8" customWidth="1"/>
    <col min="15" max="15" width="24" style="7" customWidth="1"/>
  </cols>
  <sheetData>
    <row r="1" spans="2:15" ht="61.5" customHeight="1" x14ac:dyDescent="0.25">
      <c r="B1" s="233"/>
      <c r="C1" s="234"/>
      <c r="D1" s="234"/>
      <c r="E1" s="234"/>
      <c r="F1" s="235"/>
      <c r="G1" s="241" t="s">
        <v>79</v>
      </c>
      <c r="H1" s="242"/>
      <c r="I1" s="242"/>
      <c r="J1" s="243"/>
      <c r="K1" s="227" t="s">
        <v>35</v>
      </c>
      <c r="L1" s="228"/>
      <c r="M1" s="228"/>
      <c r="N1" s="229"/>
      <c r="O1" s="12"/>
    </row>
    <row r="2" spans="2:15" ht="15.75" customHeight="1" thickBot="1" x14ac:dyDescent="0.3">
      <c r="B2" s="236"/>
      <c r="C2" s="237"/>
      <c r="D2" s="237"/>
      <c r="E2" s="237"/>
      <c r="F2" s="238"/>
      <c r="G2" s="244"/>
      <c r="H2" s="245"/>
      <c r="I2" s="245"/>
      <c r="J2" s="246"/>
      <c r="K2" s="230"/>
      <c r="L2" s="231"/>
      <c r="M2" s="231"/>
      <c r="N2" s="232"/>
      <c r="O2" s="12"/>
    </row>
    <row r="3" spans="2:15" ht="15.75" customHeight="1" thickBot="1" x14ac:dyDescent="0.3">
      <c r="B3" s="239" t="s">
        <v>36</v>
      </c>
      <c r="C3" s="209" t="s">
        <v>37</v>
      </c>
      <c r="D3" s="247" t="s">
        <v>38</v>
      </c>
      <c r="E3" s="248"/>
      <c r="F3" s="249"/>
      <c r="G3" s="209" t="s">
        <v>39</v>
      </c>
      <c r="H3" s="209" t="s">
        <v>40</v>
      </c>
      <c r="I3" s="204" t="s">
        <v>24</v>
      </c>
      <c r="J3" s="226"/>
      <c r="K3" s="211" t="s">
        <v>41</v>
      </c>
      <c r="L3" s="211" t="s">
        <v>33</v>
      </c>
      <c r="M3" s="211" t="s">
        <v>42</v>
      </c>
      <c r="N3" s="211" t="s">
        <v>43</v>
      </c>
      <c r="O3"/>
    </row>
    <row r="4" spans="2:15" ht="63" x14ac:dyDescent="0.25">
      <c r="B4" s="240"/>
      <c r="C4" s="211"/>
      <c r="D4" s="22" t="s">
        <v>44</v>
      </c>
      <c r="E4" s="87" t="s">
        <v>45</v>
      </c>
      <c r="F4" s="89" t="s">
        <v>46</v>
      </c>
      <c r="G4" s="211"/>
      <c r="H4" s="211"/>
      <c r="I4" s="87" t="s">
        <v>47</v>
      </c>
      <c r="J4" s="87" t="s">
        <v>48</v>
      </c>
      <c r="K4" s="211"/>
      <c r="L4" s="211"/>
      <c r="M4" s="211"/>
      <c r="N4" s="211"/>
      <c r="O4"/>
    </row>
    <row r="5" spans="2:15" ht="30" x14ac:dyDescent="0.25">
      <c r="B5" s="20">
        <v>1</v>
      </c>
      <c r="C5" s="104">
        <v>45667</v>
      </c>
      <c r="D5" s="14" t="s">
        <v>128</v>
      </c>
      <c r="E5" s="19" t="s">
        <v>86</v>
      </c>
      <c r="F5" s="20" t="s">
        <v>85</v>
      </c>
      <c r="G5" s="82" t="s">
        <v>121</v>
      </c>
      <c r="H5" s="20" t="s">
        <v>87</v>
      </c>
      <c r="I5" s="20" t="s">
        <v>88</v>
      </c>
      <c r="J5" s="20" t="s">
        <v>89</v>
      </c>
      <c r="K5" s="29" t="s">
        <v>129</v>
      </c>
      <c r="L5" s="20"/>
      <c r="M5" s="114" t="s">
        <v>111</v>
      </c>
      <c r="N5" s="19"/>
    </row>
    <row r="6" spans="2:15" ht="30" x14ac:dyDescent="0.25">
      <c r="B6" s="20">
        <v>2</v>
      </c>
      <c r="C6" s="104">
        <v>45667</v>
      </c>
      <c r="D6" s="14" t="s">
        <v>128</v>
      </c>
      <c r="E6" s="19" t="s">
        <v>95</v>
      </c>
      <c r="F6" s="20" t="s">
        <v>138</v>
      </c>
      <c r="G6" s="82" t="s">
        <v>122</v>
      </c>
      <c r="H6" s="20" t="s">
        <v>87</v>
      </c>
      <c r="I6" s="20" t="s">
        <v>88</v>
      </c>
      <c r="J6" s="20" t="s">
        <v>89</v>
      </c>
      <c r="K6" s="29" t="s">
        <v>129</v>
      </c>
      <c r="L6" s="20"/>
      <c r="M6" s="114" t="s">
        <v>111</v>
      </c>
      <c r="N6" s="19"/>
    </row>
    <row r="7" spans="2:15" ht="30" x14ac:dyDescent="0.25">
      <c r="B7" s="20">
        <v>3</v>
      </c>
      <c r="C7" s="104">
        <v>45667</v>
      </c>
      <c r="D7" s="14" t="s">
        <v>128</v>
      </c>
      <c r="E7" s="19" t="s">
        <v>131</v>
      </c>
      <c r="F7" s="20" t="s">
        <v>85</v>
      </c>
      <c r="G7" s="82" t="s">
        <v>123</v>
      </c>
      <c r="H7" s="20" t="s">
        <v>87</v>
      </c>
      <c r="I7" s="20" t="s">
        <v>88</v>
      </c>
      <c r="J7" s="20" t="s">
        <v>89</v>
      </c>
      <c r="K7" s="29" t="s">
        <v>129</v>
      </c>
      <c r="L7" s="20"/>
      <c r="M7" s="114" t="s">
        <v>111</v>
      </c>
      <c r="N7" s="19"/>
    </row>
    <row r="8" spans="2:15" ht="30" x14ac:dyDescent="0.25">
      <c r="B8" s="20">
        <v>4</v>
      </c>
      <c r="C8" s="104">
        <v>45667</v>
      </c>
      <c r="D8" s="14" t="s">
        <v>128</v>
      </c>
      <c r="E8" s="19" t="s">
        <v>102</v>
      </c>
      <c r="F8" s="20" t="s">
        <v>138</v>
      </c>
      <c r="G8" s="82" t="s">
        <v>124</v>
      </c>
      <c r="H8" s="20" t="s">
        <v>87</v>
      </c>
      <c r="I8" s="20" t="s">
        <v>88</v>
      </c>
      <c r="J8" s="20" t="s">
        <v>89</v>
      </c>
      <c r="K8" s="29" t="s">
        <v>129</v>
      </c>
      <c r="L8" s="20"/>
      <c r="M8" s="114" t="s">
        <v>111</v>
      </c>
      <c r="N8" s="19"/>
    </row>
    <row r="9" spans="2:15" ht="60" x14ac:dyDescent="0.25">
      <c r="B9" s="20">
        <v>1</v>
      </c>
      <c r="C9" s="104">
        <v>45667</v>
      </c>
      <c r="D9" s="14" t="s">
        <v>128</v>
      </c>
      <c r="E9" s="19" t="s">
        <v>105</v>
      </c>
      <c r="F9" s="20" t="s">
        <v>100</v>
      </c>
      <c r="G9" s="82" t="s">
        <v>125</v>
      </c>
      <c r="H9" s="20" t="s">
        <v>87</v>
      </c>
      <c r="I9" s="20" t="s">
        <v>88</v>
      </c>
      <c r="J9" s="20" t="s">
        <v>89</v>
      </c>
      <c r="K9" s="29" t="s">
        <v>129</v>
      </c>
      <c r="L9" s="20"/>
      <c r="M9" s="114" t="s">
        <v>111</v>
      </c>
      <c r="N9" s="19"/>
    </row>
    <row r="10" spans="2:15" ht="60" x14ac:dyDescent="0.25">
      <c r="B10" s="20">
        <v>1</v>
      </c>
      <c r="C10" s="104">
        <v>45667</v>
      </c>
      <c r="D10" s="14" t="s">
        <v>128</v>
      </c>
      <c r="E10" s="19" t="s">
        <v>132</v>
      </c>
      <c r="F10" s="20" t="s">
        <v>100</v>
      </c>
      <c r="G10" s="82" t="s">
        <v>126</v>
      </c>
      <c r="H10" s="20" t="s">
        <v>87</v>
      </c>
      <c r="I10" s="20" t="s">
        <v>88</v>
      </c>
      <c r="J10" s="20" t="s">
        <v>89</v>
      </c>
      <c r="K10" s="29" t="s">
        <v>129</v>
      </c>
      <c r="L10" s="20"/>
      <c r="M10" s="114" t="s">
        <v>111</v>
      </c>
      <c r="N10" s="19"/>
    </row>
    <row r="11" spans="2:15" ht="60" x14ac:dyDescent="0.25">
      <c r="B11" s="20">
        <v>1</v>
      </c>
      <c r="C11" s="104">
        <v>45667</v>
      </c>
      <c r="D11" s="14" t="s">
        <v>128</v>
      </c>
      <c r="E11" s="19" t="s">
        <v>133</v>
      </c>
      <c r="F11" s="20" t="s">
        <v>100</v>
      </c>
      <c r="G11" s="82" t="s">
        <v>127</v>
      </c>
      <c r="H11" s="20" t="s">
        <v>87</v>
      </c>
      <c r="I11" s="20" t="s">
        <v>88</v>
      </c>
      <c r="J11" s="20" t="s">
        <v>89</v>
      </c>
      <c r="K11" s="29" t="s">
        <v>129</v>
      </c>
      <c r="L11" s="20"/>
      <c r="M11" s="114" t="s">
        <v>111</v>
      </c>
      <c r="N11" s="19"/>
    </row>
    <row r="12" spans="2:15" ht="45" x14ac:dyDescent="0.25">
      <c r="B12" s="20">
        <v>8</v>
      </c>
      <c r="C12" s="104" t="s">
        <v>82</v>
      </c>
      <c r="D12" s="20" t="s">
        <v>83</v>
      </c>
      <c r="E12" s="19" t="s">
        <v>134</v>
      </c>
      <c r="F12" s="20" t="s">
        <v>85</v>
      </c>
      <c r="G12" s="106" t="s">
        <v>92</v>
      </c>
      <c r="H12" s="20" t="s">
        <v>87</v>
      </c>
      <c r="I12" s="20" t="s">
        <v>88</v>
      </c>
      <c r="J12" s="20" t="s">
        <v>89</v>
      </c>
      <c r="K12" s="29" t="s">
        <v>90</v>
      </c>
      <c r="L12" s="20"/>
      <c r="M12" s="114" t="s">
        <v>111</v>
      </c>
      <c r="N12" s="19"/>
    </row>
    <row r="13" spans="2:15" ht="91.5" customHeight="1" x14ac:dyDescent="0.25">
      <c r="B13" s="20">
        <v>9</v>
      </c>
      <c r="C13" s="104" t="s">
        <v>94</v>
      </c>
      <c r="D13" s="20" t="s">
        <v>83</v>
      </c>
      <c r="E13" s="19" t="s">
        <v>135</v>
      </c>
      <c r="F13" s="20" t="s">
        <v>85</v>
      </c>
      <c r="G13" s="82" t="s">
        <v>93</v>
      </c>
      <c r="H13" s="20" t="s">
        <v>87</v>
      </c>
      <c r="I13" s="20" t="s">
        <v>88</v>
      </c>
      <c r="J13" s="20" t="s">
        <v>89</v>
      </c>
      <c r="K13" s="107" t="s">
        <v>96</v>
      </c>
      <c r="L13" s="20"/>
      <c r="M13" s="110" t="s">
        <v>91</v>
      </c>
      <c r="N13" s="19"/>
    </row>
    <row r="14" spans="2:15" ht="154.5" customHeight="1" x14ac:dyDescent="0.25">
      <c r="B14" s="20">
        <v>1</v>
      </c>
      <c r="C14" s="111">
        <v>45690</v>
      </c>
      <c r="D14" s="20" t="s">
        <v>83</v>
      </c>
      <c r="E14" s="19" t="s">
        <v>136</v>
      </c>
      <c r="F14" s="20" t="s">
        <v>100</v>
      </c>
      <c r="G14" s="19" t="s">
        <v>612</v>
      </c>
      <c r="H14" s="17" t="s">
        <v>99</v>
      </c>
      <c r="I14" s="20" t="s">
        <v>88</v>
      </c>
      <c r="J14" s="20" t="s">
        <v>89</v>
      </c>
      <c r="K14" s="83" t="s">
        <v>98</v>
      </c>
      <c r="L14" s="20"/>
      <c r="M14" s="132" t="s">
        <v>111</v>
      </c>
      <c r="N14" s="14" t="s">
        <v>571</v>
      </c>
    </row>
    <row r="15" spans="2:15" ht="105" x14ac:dyDescent="0.25">
      <c r="B15" s="20">
        <v>1</v>
      </c>
      <c r="C15" s="112">
        <v>45691</v>
      </c>
      <c r="D15" s="20" t="s">
        <v>83</v>
      </c>
      <c r="E15" s="19" t="s">
        <v>137</v>
      </c>
      <c r="F15" s="20" t="s">
        <v>100</v>
      </c>
      <c r="G15" s="19" t="s">
        <v>103</v>
      </c>
      <c r="H15" s="17" t="s">
        <v>99</v>
      </c>
      <c r="I15" s="20" t="s">
        <v>88</v>
      </c>
      <c r="J15" s="20" t="s">
        <v>89</v>
      </c>
      <c r="K15" s="69" t="s">
        <v>101</v>
      </c>
      <c r="L15" s="20"/>
      <c r="M15" s="132" t="s">
        <v>111</v>
      </c>
      <c r="N15" s="19"/>
    </row>
    <row r="16" spans="2:15" s="10" customFormat="1" ht="195" x14ac:dyDescent="0.25">
      <c r="B16" s="20">
        <v>12</v>
      </c>
      <c r="C16" s="111">
        <v>45702</v>
      </c>
      <c r="D16" s="20" t="s">
        <v>83</v>
      </c>
      <c r="E16" s="19" t="s">
        <v>142</v>
      </c>
      <c r="F16" s="19"/>
      <c r="G16" s="82" t="s">
        <v>140</v>
      </c>
      <c r="H16" s="20" t="s">
        <v>87</v>
      </c>
      <c r="I16" s="20" t="s">
        <v>88</v>
      </c>
      <c r="J16" s="20" t="s">
        <v>89</v>
      </c>
      <c r="K16" s="69" t="s">
        <v>141</v>
      </c>
      <c r="L16" s="19"/>
      <c r="M16" s="132" t="s">
        <v>111</v>
      </c>
      <c r="N16" s="19" t="s">
        <v>346</v>
      </c>
      <c r="O16" s="38"/>
    </row>
    <row r="17" spans="2:15" s="177" customFormat="1" ht="75" x14ac:dyDescent="0.25">
      <c r="B17" s="20">
        <v>13</v>
      </c>
      <c r="C17" s="169">
        <v>45716</v>
      </c>
      <c r="D17" s="170" t="s">
        <v>83</v>
      </c>
      <c r="E17" s="171" t="s">
        <v>160</v>
      </c>
      <c r="F17" s="168" t="s">
        <v>138</v>
      </c>
      <c r="G17" s="171" t="s">
        <v>623</v>
      </c>
      <c r="H17" s="172" t="s">
        <v>99</v>
      </c>
      <c r="I17" s="168" t="s">
        <v>88</v>
      </c>
      <c r="J17" s="168" t="s">
        <v>89</v>
      </c>
      <c r="K17" s="173" t="s">
        <v>129</v>
      </c>
      <c r="L17" s="174"/>
      <c r="M17" s="146" t="s">
        <v>111</v>
      </c>
      <c r="N17" s="175" t="s">
        <v>335</v>
      </c>
      <c r="O17" s="176"/>
    </row>
    <row r="18" spans="2:15" ht="60" x14ac:dyDescent="0.25">
      <c r="B18" s="20">
        <v>1</v>
      </c>
      <c r="C18" s="111">
        <v>45725</v>
      </c>
      <c r="D18" s="14" t="s">
        <v>83</v>
      </c>
      <c r="E18" s="19" t="s">
        <v>175</v>
      </c>
      <c r="F18" s="20" t="s">
        <v>100</v>
      </c>
      <c r="G18" s="82" t="s">
        <v>173</v>
      </c>
      <c r="H18" s="20" t="s">
        <v>87</v>
      </c>
      <c r="I18" s="20" t="s">
        <v>88</v>
      </c>
      <c r="J18" s="20" t="s">
        <v>89</v>
      </c>
      <c r="K18" s="20" t="s">
        <v>176</v>
      </c>
      <c r="L18" s="20"/>
      <c r="M18" s="132" t="s">
        <v>111</v>
      </c>
      <c r="N18" s="19"/>
    </row>
    <row r="19" spans="2:15" ht="75" x14ac:dyDescent="0.25">
      <c r="B19" s="20">
        <v>15</v>
      </c>
      <c r="C19" s="125">
        <v>45727</v>
      </c>
      <c r="D19" s="14" t="s">
        <v>83</v>
      </c>
      <c r="E19" s="19" t="s">
        <v>178</v>
      </c>
      <c r="F19" s="20" t="s">
        <v>85</v>
      </c>
      <c r="G19" s="82" t="s">
        <v>177</v>
      </c>
      <c r="H19" s="20" t="s">
        <v>87</v>
      </c>
      <c r="I19" s="20" t="s">
        <v>88</v>
      </c>
      <c r="J19" s="20" t="s">
        <v>89</v>
      </c>
      <c r="K19" s="42" t="s">
        <v>179</v>
      </c>
      <c r="L19" s="42"/>
      <c r="M19" s="132" t="s">
        <v>111</v>
      </c>
      <c r="N19" s="41"/>
    </row>
    <row r="20" spans="2:15" s="177" customFormat="1" ht="75" x14ac:dyDescent="0.25">
      <c r="B20" s="20">
        <v>1</v>
      </c>
      <c r="C20" s="169">
        <v>45736</v>
      </c>
      <c r="D20" s="170" t="s">
        <v>83</v>
      </c>
      <c r="E20" s="171" t="s">
        <v>191</v>
      </c>
      <c r="F20" s="168" t="s">
        <v>100</v>
      </c>
      <c r="G20" s="178" t="s">
        <v>625</v>
      </c>
      <c r="H20" s="168" t="s">
        <v>87</v>
      </c>
      <c r="I20" s="168" t="s">
        <v>88</v>
      </c>
      <c r="J20" s="168" t="s">
        <v>89</v>
      </c>
      <c r="K20" s="168" t="s">
        <v>624</v>
      </c>
      <c r="L20" s="174"/>
      <c r="M20" s="103" t="s">
        <v>388</v>
      </c>
      <c r="N20" s="175"/>
      <c r="O20" s="176"/>
    </row>
    <row r="21" spans="2:15" ht="75" x14ac:dyDescent="0.25">
      <c r="B21" s="20">
        <v>17</v>
      </c>
      <c r="C21" s="75">
        <v>45746</v>
      </c>
      <c r="D21" s="14" t="s">
        <v>83</v>
      </c>
      <c r="E21" s="19" t="s">
        <v>198</v>
      </c>
      <c r="F21" s="20" t="s">
        <v>85</v>
      </c>
      <c r="G21" s="82" t="s">
        <v>197</v>
      </c>
      <c r="H21" s="20" t="s">
        <v>87</v>
      </c>
      <c r="I21" s="20" t="s">
        <v>88</v>
      </c>
      <c r="J21" s="20" t="s">
        <v>89</v>
      </c>
      <c r="K21" s="19" t="s">
        <v>179</v>
      </c>
      <c r="L21" s="40"/>
      <c r="M21" s="132" t="s">
        <v>111</v>
      </c>
      <c r="N21" s="19" t="s">
        <v>812</v>
      </c>
    </row>
    <row r="22" spans="2:15" ht="90" x14ac:dyDescent="0.25">
      <c r="B22" s="20">
        <v>1</v>
      </c>
      <c r="C22" s="75">
        <v>45746</v>
      </c>
      <c r="D22" s="14" t="s">
        <v>83</v>
      </c>
      <c r="E22" s="19" t="s">
        <v>199</v>
      </c>
      <c r="F22" s="20" t="s">
        <v>100</v>
      </c>
      <c r="G22" s="82" t="s">
        <v>201</v>
      </c>
      <c r="H22" s="20" t="s">
        <v>87</v>
      </c>
      <c r="I22" s="20" t="s">
        <v>88</v>
      </c>
      <c r="J22" s="20" t="s">
        <v>89</v>
      </c>
      <c r="K22" s="40" t="s">
        <v>200</v>
      </c>
      <c r="L22" s="40"/>
      <c r="M22" s="132" t="s">
        <v>111</v>
      </c>
      <c r="N22" s="39"/>
    </row>
    <row r="23" spans="2:15" ht="45" x14ac:dyDescent="0.25">
      <c r="B23" s="20">
        <v>19</v>
      </c>
      <c r="C23" s="111">
        <v>45750</v>
      </c>
      <c r="D23" s="14" t="s">
        <v>83</v>
      </c>
      <c r="E23" s="19" t="s">
        <v>203</v>
      </c>
      <c r="F23" s="20" t="s">
        <v>85</v>
      </c>
      <c r="G23" s="82" t="s">
        <v>205</v>
      </c>
      <c r="H23" s="20" t="s">
        <v>87</v>
      </c>
      <c r="I23" s="20" t="s">
        <v>88</v>
      </c>
      <c r="J23" s="20" t="s">
        <v>89</v>
      </c>
      <c r="K23" s="20" t="s">
        <v>206</v>
      </c>
      <c r="L23" s="40"/>
      <c r="M23" s="132" t="s">
        <v>111</v>
      </c>
      <c r="N23" s="39"/>
    </row>
    <row r="24" spans="2:15" ht="30" x14ac:dyDescent="0.25">
      <c r="B24" s="20">
        <v>20</v>
      </c>
      <c r="C24" s="98">
        <v>45752</v>
      </c>
      <c r="D24" s="14" t="s">
        <v>83</v>
      </c>
      <c r="E24" s="19" t="s">
        <v>208</v>
      </c>
      <c r="F24" s="20" t="s">
        <v>85</v>
      </c>
      <c r="G24" s="82" t="s">
        <v>209</v>
      </c>
      <c r="H24" s="20" t="s">
        <v>87</v>
      </c>
      <c r="I24" s="20" t="s">
        <v>88</v>
      </c>
      <c r="J24" s="20" t="s">
        <v>89</v>
      </c>
      <c r="K24" s="20" t="s">
        <v>206</v>
      </c>
      <c r="L24" s="40"/>
      <c r="M24" s="103" t="s">
        <v>91</v>
      </c>
      <c r="N24" s="39"/>
    </row>
    <row r="25" spans="2:15" ht="105" x14ac:dyDescent="0.25">
      <c r="B25" s="20">
        <v>21</v>
      </c>
      <c r="C25" s="111">
        <v>45754</v>
      </c>
      <c r="D25" s="14" t="s">
        <v>83</v>
      </c>
      <c r="E25" s="19" t="s">
        <v>211</v>
      </c>
      <c r="F25" s="20" t="s">
        <v>85</v>
      </c>
      <c r="G25" s="82" t="s">
        <v>210</v>
      </c>
      <c r="H25" s="20" t="s">
        <v>87</v>
      </c>
      <c r="I25" s="20" t="s">
        <v>88</v>
      </c>
      <c r="J25" s="20" t="s">
        <v>89</v>
      </c>
      <c r="K25" s="20" t="s">
        <v>214</v>
      </c>
      <c r="L25" s="43"/>
      <c r="M25" s="103" t="s">
        <v>91</v>
      </c>
      <c r="N25" s="45"/>
      <c r="O25"/>
    </row>
    <row r="26" spans="2:15" ht="150" x14ac:dyDescent="0.25">
      <c r="B26" s="20">
        <v>22</v>
      </c>
      <c r="C26" s="111">
        <v>45754</v>
      </c>
      <c r="D26" s="14" t="s">
        <v>83</v>
      </c>
      <c r="E26" s="19" t="s">
        <v>213</v>
      </c>
      <c r="F26" s="20" t="s">
        <v>85</v>
      </c>
      <c r="G26" s="82" t="s">
        <v>212</v>
      </c>
      <c r="H26" s="20" t="s">
        <v>87</v>
      </c>
      <c r="I26" s="20" t="s">
        <v>88</v>
      </c>
      <c r="J26" s="20" t="s">
        <v>89</v>
      </c>
      <c r="K26" s="107" t="s">
        <v>96</v>
      </c>
      <c r="L26" s="43"/>
      <c r="M26" s="110" t="s">
        <v>91</v>
      </c>
      <c r="N26" s="45"/>
      <c r="O26"/>
    </row>
    <row r="27" spans="2:15" ht="60" x14ac:dyDescent="0.25">
      <c r="B27" s="20">
        <v>1</v>
      </c>
      <c r="C27" s="111">
        <v>45755</v>
      </c>
      <c r="D27" s="14" t="s">
        <v>400</v>
      </c>
      <c r="E27" s="19" t="s">
        <v>218</v>
      </c>
      <c r="F27" s="20" t="s">
        <v>100</v>
      </c>
      <c r="G27" s="143" t="s">
        <v>401</v>
      </c>
      <c r="H27" s="20" t="s">
        <v>87</v>
      </c>
      <c r="I27" s="20" t="s">
        <v>88</v>
      </c>
      <c r="J27" s="20" t="s">
        <v>89</v>
      </c>
      <c r="K27" s="29" t="s">
        <v>129</v>
      </c>
      <c r="L27" s="43"/>
      <c r="M27" s="146" t="s">
        <v>111</v>
      </c>
      <c r="N27" s="45"/>
      <c r="O27"/>
    </row>
    <row r="28" spans="2:15" ht="60" x14ac:dyDescent="0.25">
      <c r="B28" s="20">
        <v>1</v>
      </c>
      <c r="C28" s="111">
        <v>45755</v>
      </c>
      <c r="D28" s="14" t="s">
        <v>400</v>
      </c>
      <c r="E28" s="19" t="s">
        <v>244</v>
      </c>
      <c r="F28" s="20" t="s">
        <v>100</v>
      </c>
      <c r="G28" s="143" t="s">
        <v>402</v>
      </c>
      <c r="H28" s="20" t="s">
        <v>87</v>
      </c>
      <c r="I28" s="20" t="s">
        <v>88</v>
      </c>
      <c r="J28" s="20" t="s">
        <v>89</v>
      </c>
      <c r="K28" s="29" t="s">
        <v>129</v>
      </c>
      <c r="L28" s="43"/>
      <c r="M28" s="146" t="s">
        <v>111</v>
      </c>
      <c r="N28" s="45"/>
      <c r="O28"/>
    </row>
    <row r="29" spans="2:15" ht="60" x14ac:dyDescent="0.25">
      <c r="B29" s="20">
        <v>1</v>
      </c>
      <c r="C29" s="111">
        <v>45755</v>
      </c>
      <c r="D29" s="14" t="s">
        <v>400</v>
      </c>
      <c r="E29" s="19" t="s">
        <v>254</v>
      </c>
      <c r="F29" s="20" t="s">
        <v>100</v>
      </c>
      <c r="G29" s="143" t="s">
        <v>403</v>
      </c>
      <c r="H29" s="20" t="s">
        <v>87</v>
      </c>
      <c r="I29" s="20" t="s">
        <v>88</v>
      </c>
      <c r="J29" s="20" t="s">
        <v>89</v>
      </c>
      <c r="K29" s="29" t="s">
        <v>129</v>
      </c>
      <c r="L29" s="43"/>
      <c r="M29" s="146" t="s">
        <v>111</v>
      </c>
      <c r="N29" s="45"/>
      <c r="O29"/>
    </row>
    <row r="30" spans="2:15" ht="60" x14ac:dyDescent="0.25">
      <c r="B30" s="20">
        <v>1</v>
      </c>
      <c r="C30" s="111">
        <v>45755</v>
      </c>
      <c r="D30" s="14" t="s">
        <v>400</v>
      </c>
      <c r="E30" s="19" t="s">
        <v>256</v>
      </c>
      <c r="F30" s="20" t="s">
        <v>100</v>
      </c>
      <c r="G30" s="143" t="s">
        <v>404</v>
      </c>
      <c r="H30" s="20" t="s">
        <v>87</v>
      </c>
      <c r="I30" s="20" t="s">
        <v>88</v>
      </c>
      <c r="J30" s="20" t="s">
        <v>89</v>
      </c>
      <c r="K30" s="29" t="s">
        <v>129</v>
      </c>
      <c r="L30" s="43"/>
      <c r="M30" s="146" t="s">
        <v>111</v>
      </c>
      <c r="N30" s="45"/>
      <c r="O30"/>
    </row>
    <row r="31" spans="2:15" ht="60" x14ac:dyDescent="0.25">
      <c r="B31" s="20">
        <v>1</v>
      </c>
      <c r="C31" s="111">
        <v>45755</v>
      </c>
      <c r="D31" s="14" t="s">
        <v>400</v>
      </c>
      <c r="E31" s="19" t="s">
        <v>257</v>
      </c>
      <c r="F31" s="20" t="s">
        <v>100</v>
      </c>
      <c r="G31" s="143" t="s">
        <v>405</v>
      </c>
      <c r="H31" s="20" t="s">
        <v>87</v>
      </c>
      <c r="I31" s="20" t="s">
        <v>88</v>
      </c>
      <c r="J31" s="20" t="s">
        <v>89</v>
      </c>
      <c r="K31" s="29" t="s">
        <v>129</v>
      </c>
      <c r="L31" s="43"/>
      <c r="M31" s="146" t="s">
        <v>111</v>
      </c>
      <c r="N31" s="45"/>
      <c r="O31"/>
    </row>
    <row r="32" spans="2:15" ht="60" x14ac:dyDescent="0.25">
      <c r="B32" s="20">
        <v>1</v>
      </c>
      <c r="C32" s="111">
        <v>45755</v>
      </c>
      <c r="D32" s="14" t="s">
        <v>400</v>
      </c>
      <c r="E32" s="19" t="s">
        <v>260</v>
      </c>
      <c r="F32" s="20" t="s">
        <v>100</v>
      </c>
      <c r="G32" s="143" t="s">
        <v>406</v>
      </c>
      <c r="H32" s="20" t="s">
        <v>87</v>
      </c>
      <c r="I32" s="20" t="s">
        <v>88</v>
      </c>
      <c r="J32" s="20" t="s">
        <v>89</v>
      </c>
      <c r="K32" s="29" t="s">
        <v>129</v>
      </c>
      <c r="L32" s="43"/>
      <c r="M32" s="146" t="s">
        <v>111</v>
      </c>
      <c r="N32" s="45"/>
      <c r="O32"/>
    </row>
    <row r="33" spans="2:15" ht="60" x14ac:dyDescent="0.25">
      <c r="B33" s="20">
        <v>1</v>
      </c>
      <c r="C33" s="111">
        <v>45755</v>
      </c>
      <c r="D33" s="14" t="s">
        <v>400</v>
      </c>
      <c r="E33" s="19" t="s">
        <v>288</v>
      </c>
      <c r="F33" s="20" t="s">
        <v>100</v>
      </c>
      <c r="G33" s="143" t="s">
        <v>407</v>
      </c>
      <c r="H33" s="20" t="s">
        <v>87</v>
      </c>
      <c r="I33" s="20" t="s">
        <v>88</v>
      </c>
      <c r="J33" s="20" t="s">
        <v>89</v>
      </c>
      <c r="K33" s="29" t="s">
        <v>129</v>
      </c>
      <c r="L33" s="43"/>
      <c r="M33" s="146" t="s">
        <v>111</v>
      </c>
      <c r="N33" s="45"/>
      <c r="O33"/>
    </row>
    <row r="34" spans="2:15" ht="60" x14ac:dyDescent="0.25">
      <c r="B34" s="20">
        <v>1</v>
      </c>
      <c r="C34" s="111">
        <v>45755</v>
      </c>
      <c r="D34" s="14" t="s">
        <v>400</v>
      </c>
      <c r="E34" s="19" t="s">
        <v>289</v>
      </c>
      <c r="F34" s="20" t="s">
        <v>100</v>
      </c>
      <c r="G34" s="143" t="s">
        <v>408</v>
      </c>
      <c r="H34" s="20" t="s">
        <v>87</v>
      </c>
      <c r="I34" s="20" t="s">
        <v>88</v>
      </c>
      <c r="J34" s="20" t="s">
        <v>89</v>
      </c>
      <c r="K34" s="29" t="s">
        <v>129</v>
      </c>
      <c r="L34" s="43"/>
      <c r="M34" s="146" t="s">
        <v>111</v>
      </c>
      <c r="N34" s="45"/>
      <c r="O34"/>
    </row>
    <row r="35" spans="2:15" ht="60" x14ac:dyDescent="0.25">
      <c r="B35" s="20">
        <v>1</v>
      </c>
      <c r="C35" s="111">
        <v>45755</v>
      </c>
      <c r="D35" s="14" t="s">
        <v>400</v>
      </c>
      <c r="E35" s="19" t="s">
        <v>290</v>
      </c>
      <c r="F35" s="20" t="s">
        <v>100</v>
      </c>
      <c r="G35" s="143" t="s">
        <v>409</v>
      </c>
      <c r="H35" s="20" t="s">
        <v>87</v>
      </c>
      <c r="I35" s="20" t="s">
        <v>88</v>
      </c>
      <c r="J35" s="20" t="s">
        <v>89</v>
      </c>
      <c r="K35" s="29" t="s">
        <v>129</v>
      </c>
      <c r="L35" s="43"/>
      <c r="M35" s="146" t="s">
        <v>111</v>
      </c>
      <c r="N35" s="45"/>
      <c r="O35"/>
    </row>
    <row r="36" spans="2:15" ht="60" x14ac:dyDescent="0.25">
      <c r="B36" s="20">
        <v>1</v>
      </c>
      <c r="C36" s="111">
        <v>45755</v>
      </c>
      <c r="D36" s="14" t="s">
        <v>400</v>
      </c>
      <c r="E36" s="19" t="s">
        <v>291</v>
      </c>
      <c r="F36" s="20" t="s">
        <v>100</v>
      </c>
      <c r="G36" s="143" t="s">
        <v>410</v>
      </c>
      <c r="H36" s="20" t="s">
        <v>87</v>
      </c>
      <c r="I36" s="20" t="s">
        <v>88</v>
      </c>
      <c r="J36" s="20" t="s">
        <v>89</v>
      </c>
      <c r="K36" s="29" t="s">
        <v>129</v>
      </c>
      <c r="L36" s="43"/>
      <c r="M36" s="146" t="s">
        <v>111</v>
      </c>
      <c r="N36" s="45"/>
      <c r="O36"/>
    </row>
    <row r="37" spans="2:15" ht="60" x14ac:dyDescent="0.25">
      <c r="B37" s="20">
        <v>1</v>
      </c>
      <c r="C37" s="111">
        <v>45755</v>
      </c>
      <c r="D37" s="14" t="s">
        <v>400</v>
      </c>
      <c r="E37" s="19" t="s">
        <v>292</v>
      </c>
      <c r="F37" s="20" t="s">
        <v>100</v>
      </c>
      <c r="G37" s="143" t="s">
        <v>411</v>
      </c>
      <c r="H37" s="20" t="s">
        <v>87</v>
      </c>
      <c r="I37" s="20" t="s">
        <v>88</v>
      </c>
      <c r="J37" s="20" t="s">
        <v>89</v>
      </c>
      <c r="K37" s="29" t="s">
        <v>129</v>
      </c>
      <c r="L37" s="43"/>
      <c r="M37" s="146" t="s">
        <v>111</v>
      </c>
      <c r="N37" s="45"/>
      <c r="O37"/>
    </row>
    <row r="38" spans="2:15" ht="60" x14ac:dyDescent="0.25">
      <c r="B38" s="20">
        <v>1</v>
      </c>
      <c r="C38" s="111">
        <v>45755</v>
      </c>
      <c r="D38" s="14" t="s">
        <v>400</v>
      </c>
      <c r="E38" s="19" t="s">
        <v>293</v>
      </c>
      <c r="F38" s="20" t="s">
        <v>100</v>
      </c>
      <c r="G38" s="143" t="s">
        <v>412</v>
      </c>
      <c r="H38" s="20" t="s">
        <v>87</v>
      </c>
      <c r="I38" s="20" t="s">
        <v>88</v>
      </c>
      <c r="J38" s="20" t="s">
        <v>89</v>
      </c>
      <c r="K38" s="29" t="s">
        <v>129</v>
      </c>
      <c r="L38" s="43"/>
      <c r="M38" s="146" t="s">
        <v>111</v>
      </c>
      <c r="N38" s="45"/>
      <c r="O38"/>
    </row>
    <row r="39" spans="2:15" ht="60" x14ac:dyDescent="0.25">
      <c r="B39" s="20">
        <v>1</v>
      </c>
      <c r="C39" s="111">
        <v>45755</v>
      </c>
      <c r="D39" s="14" t="s">
        <v>400</v>
      </c>
      <c r="E39" s="19" t="s">
        <v>294</v>
      </c>
      <c r="F39" s="20" t="s">
        <v>100</v>
      </c>
      <c r="G39" s="143" t="s">
        <v>413</v>
      </c>
      <c r="H39" s="20" t="s">
        <v>87</v>
      </c>
      <c r="I39" s="20" t="s">
        <v>88</v>
      </c>
      <c r="J39" s="20" t="s">
        <v>89</v>
      </c>
      <c r="K39" s="29" t="s">
        <v>129</v>
      </c>
      <c r="L39" s="43"/>
      <c r="M39" s="146" t="s">
        <v>111</v>
      </c>
      <c r="N39" s="45"/>
      <c r="O39"/>
    </row>
    <row r="40" spans="2:15" ht="60" x14ac:dyDescent="0.25">
      <c r="B40" s="20">
        <v>1</v>
      </c>
      <c r="C40" s="111">
        <v>45755</v>
      </c>
      <c r="D40" s="14" t="s">
        <v>400</v>
      </c>
      <c r="E40" s="19" t="s">
        <v>295</v>
      </c>
      <c r="F40" s="20" t="s">
        <v>100</v>
      </c>
      <c r="G40" s="143" t="s">
        <v>414</v>
      </c>
      <c r="H40" s="20" t="s">
        <v>87</v>
      </c>
      <c r="I40" s="20" t="s">
        <v>88</v>
      </c>
      <c r="J40" s="20" t="s">
        <v>89</v>
      </c>
      <c r="K40" s="29" t="s">
        <v>129</v>
      </c>
      <c r="L40" s="43"/>
      <c r="M40" s="146" t="s">
        <v>111</v>
      </c>
      <c r="N40" s="45"/>
      <c r="O40"/>
    </row>
    <row r="41" spans="2:15" ht="60" x14ac:dyDescent="0.25">
      <c r="B41" s="20">
        <v>1</v>
      </c>
      <c r="C41" s="111">
        <v>45755</v>
      </c>
      <c r="D41" s="14" t="s">
        <v>400</v>
      </c>
      <c r="E41" s="19" t="s">
        <v>296</v>
      </c>
      <c r="F41" s="20" t="s">
        <v>100</v>
      </c>
      <c r="G41" s="143" t="s">
        <v>415</v>
      </c>
      <c r="H41" s="20" t="s">
        <v>87</v>
      </c>
      <c r="I41" s="20" t="s">
        <v>88</v>
      </c>
      <c r="J41" s="20" t="s">
        <v>89</v>
      </c>
      <c r="K41" s="29" t="s">
        <v>129</v>
      </c>
      <c r="L41" s="43"/>
      <c r="M41" s="146" t="s">
        <v>111</v>
      </c>
      <c r="N41" s="45"/>
      <c r="O41"/>
    </row>
    <row r="42" spans="2:15" ht="60" x14ac:dyDescent="0.25">
      <c r="B42" s="20">
        <v>1</v>
      </c>
      <c r="C42" s="111">
        <v>45755</v>
      </c>
      <c r="D42" s="14" t="s">
        <v>400</v>
      </c>
      <c r="E42" s="19" t="s">
        <v>297</v>
      </c>
      <c r="F42" s="20" t="s">
        <v>100</v>
      </c>
      <c r="G42" s="143" t="s">
        <v>417</v>
      </c>
      <c r="H42" s="20" t="s">
        <v>87</v>
      </c>
      <c r="I42" s="20" t="s">
        <v>88</v>
      </c>
      <c r="J42" s="20" t="s">
        <v>89</v>
      </c>
      <c r="K42" s="29" t="s">
        <v>129</v>
      </c>
      <c r="L42" s="43"/>
      <c r="M42" s="146" t="s">
        <v>111</v>
      </c>
      <c r="N42" s="45"/>
      <c r="O42"/>
    </row>
    <row r="43" spans="2:15" ht="60" x14ac:dyDescent="0.25">
      <c r="B43" s="20">
        <v>1</v>
      </c>
      <c r="C43" s="111">
        <v>45755</v>
      </c>
      <c r="D43" s="14" t="s">
        <v>400</v>
      </c>
      <c r="E43" s="19" t="s">
        <v>298</v>
      </c>
      <c r="F43" s="20" t="s">
        <v>100</v>
      </c>
      <c r="G43" s="143" t="s">
        <v>416</v>
      </c>
      <c r="H43" s="20" t="s">
        <v>87</v>
      </c>
      <c r="I43" s="20" t="s">
        <v>88</v>
      </c>
      <c r="J43" s="20" t="s">
        <v>89</v>
      </c>
      <c r="K43" s="29" t="s">
        <v>129</v>
      </c>
      <c r="L43" s="43"/>
      <c r="M43" s="146" t="s">
        <v>111</v>
      </c>
      <c r="N43" s="45"/>
      <c r="O43"/>
    </row>
    <row r="44" spans="2:15" ht="195" x14ac:dyDescent="0.25">
      <c r="B44" s="20">
        <v>1</v>
      </c>
      <c r="C44" s="111">
        <v>45756</v>
      </c>
      <c r="D44" s="14" t="s">
        <v>83</v>
      </c>
      <c r="E44" s="19" t="s">
        <v>299</v>
      </c>
      <c r="F44" s="20" t="s">
        <v>100</v>
      </c>
      <c r="G44" s="82" t="s">
        <v>614</v>
      </c>
      <c r="H44" s="20" t="s">
        <v>87</v>
      </c>
      <c r="I44" s="20" t="s">
        <v>88</v>
      </c>
      <c r="J44" s="20" t="s">
        <v>89</v>
      </c>
      <c r="K44" s="29" t="s">
        <v>216</v>
      </c>
      <c r="L44" s="40"/>
      <c r="M44" s="132" t="s">
        <v>111</v>
      </c>
      <c r="N44" s="40"/>
    </row>
    <row r="45" spans="2:15" ht="60" x14ac:dyDescent="0.25">
      <c r="B45" s="20">
        <v>1</v>
      </c>
      <c r="C45" s="98">
        <v>45763</v>
      </c>
      <c r="D45" s="14" t="s">
        <v>83</v>
      </c>
      <c r="E45" s="19" t="s">
        <v>309</v>
      </c>
      <c r="F45" s="20" t="s">
        <v>100</v>
      </c>
      <c r="G45" s="82" t="s">
        <v>243</v>
      </c>
      <c r="H45" s="20" t="s">
        <v>87</v>
      </c>
      <c r="I45" s="20" t="s">
        <v>88</v>
      </c>
      <c r="J45" s="20" t="s">
        <v>89</v>
      </c>
      <c r="K45" s="97" t="s">
        <v>190</v>
      </c>
      <c r="L45" s="40"/>
      <c r="M45" s="132" t="s">
        <v>111</v>
      </c>
      <c r="N45" s="40" t="s">
        <v>572</v>
      </c>
    </row>
    <row r="46" spans="2:15" ht="63" x14ac:dyDescent="0.25">
      <c r="B46" s="20">
        <v>1</v>
      </c>
      <c r="C46" s="98">
        <v>45769</v>
      </c>
      <c r="D46" s="14" t="s">
        <v>265</v>
      </c>
      <c r="E46" s="19" t="s">
        <v>315</v>
      </c>
      <c r="F46" s="20" t="s">
        <v>100</v>
      </c>
      <c r="G46" s="32" t="s">
        <v>266</v>
      </c>
      <c r="H46" s="20" t="s">
        <v>87</v>
      </c>
      <c r="I46" s="20" t="s">
        <v>88</v>
      </c>
      <c r="J46" s="20" t="s">
        <v>89</v>
      </c>
      <c r="K46" s="97" t="s">
        <v>190</v>
      </c>
      <c r="L46" s="40"/>
      <c r="M46" s="132" t="s">
        <v>111</v>
      </c>
      <c r="N46" s="40" t="s">
        <v>630</v>
      </c>
    </row>
    <row r="47" spans="2:15" ht="60" x14ac:dyDescent="0.25">
      <c r="B47" s="20">
        <v>1</v>
      </c>
      <c r="C47" s="98">
        <v>45769</v>
      </c>
      <c r="D47" s="20" t="s">
        <v>286</v>
      </c>
      <c r="E47" s="19" t="s">
        <v>320</v>
      </c>
      <c r="F47" s="20" t="s">
        <v>100</v>
      </c>
      <c r="G47" s="32" t="s">
        <v>283</v>
      </c>
      <c r="H47" s="20" t="s">
        <v>87</v>
      </c>
      <c r="I47" s="20" t="s">
        <v>88</v>
      </c>
      <c r="J47" s="20" t="s">
        <v>89</v>
      </c>
      <c r="K47" s="49" t="s">
        <v>282</v>
      </c>
      <c r="L47" s="40"/>
      <c r="M47" s="132" t="s">
        <v>111</v>
      </c>
      <c r="N47" s="40" t="s">
        <v>825</v>
      </c>
    </row>
    <row r="48" spans="2:15" ht="60" x14ac:dyDescent="0.25">
      <c r="B48" s="20">
        <v>1</v>
      </c>
      <c r="C48" s="98">
        <v>45769</v>
      </c>
      <c r="D48" s="20" t="s">
        <v>286</v>
      </c>
      <c r="E48" s="19" t="s">
        <v>322</v>
      </c>
      <c r="F48" s="20" t="s">
        <v>100</v>
      </c>
      <c r="G48" s="100" t="s">
        <v>267</v>
      </c>
      <c r="H48" s="20" t="s">
        <v>99</v>
      </c>
      <c r="I48" s="20" t="s">
        <v>88</v>
      </c>
      <c r="J48" s="20" t="s">
        <v>89</v>
      </c>
      <c r="K48" s="69" t="s">
        <v>268</v>
      </c>
      <c r="L48" s="40"/>
      <c r="M48" s="132" t="s">
        <v>111</v>
      </c>
      <c r="N48" s="40" t="s">
        <v>813</v>
      </c>
    </row>
    <row r="49" spans="2:15" ht="60" x14ac:dyDescent="0.25">
      <c r="B49" s="20">
        <v>1</v>
      </c>
      <c r="C49" s="98">
        <v>45769</v>
      </c>
      <c r="D49" s="20" t="s">
        <v>287</v>
      </c>
      <c r="E49" s="19" t="s">
        <v>325</v>
      </c>
      <c r="F49" s="20" t="s">
        <v>100</v>
      </c>
      <c r="G49" s="131" t="s">
        <v>270</v>
      </c>
      <c r="H49" s="20" t="s">
        <v>87</v>
      </c>
      <c r="I49" s="20" t="s">
        <v>88</v>
      </c>
      <c r="J49" s="20" t="s">
        <v>89</v>
      </c>
      <c r="K49" s="49" t="s">
        <v>284</v>
      </c>
      <c r="L49" s="40"/>
      <c r="M49" s="132" t="s">
        <v>111</v>
      </c>
      <c r="N49" s="40" t="s">
        <v>307</v>
      </c>
    </row>
    <row r="50" spans="2:15" ht="60" x14ac:dyDescent="0.25">
      <c r="B50" s="20">
        <v>1</v>
      </c>
      <c r="C50" s="98">
        <v>45769</v>
      </c>
      <c r="D50" s="20" t="s">
        <v>287</v>
      </c>
      <c r="E50" s="19" t="s">
        <v>332</v>
      </c>
      <c r="F50" s="20" t="s">
        <v>100</v>
      </c>
      <c r="G50" s="79" t="s">
        <v>272</v>
      </c>
      <c r="H50" s="20" t="s">
        <v>87</v>
      </c>
      <c r="I50" s="20" t="s">
        <v>88</v>
      </c>
      <c r="J50" s="20" t="s">
        <v>89</v>
      </c>
      <c r="K50" s="20" t="s">
        <v>179</v>
      </c>
      <c r="L50" s="40"/>
      <c r="M50" s="132" t="s">
        <v>111</v>
      </c>
      <c r="N50" s="40" t="s">
        <v>609</v>
      </c>
    </row>
    <row r="51" spans="2:15" ht="60" x14ac:dyDescent="0.25">
      <c r="B51" s="20">
        <v>1</v>
      </c>
      <c r="C51" s="98">
        <v>45769</v>
      </c>
      <c r="D51" s="20" t="s">
        <v>287</v>
      </c>
      <c r="E51" s="19" t="s">
        <v>337</v>
      </c>
      <c r="F51" s="20" t="s">
        <v>100</v>
      </c>
      <c r="G51" s="131" t="s">
        <v>273</v>
      </c>
      <c r="H51" s="20" t="s">
        <v>87</v>
      </c>
      <c r="I51" s="20" t="s">
        <v>88</v>
      </c>
      <c r="J51" s="20" t="s">
        <v>89</v>
      </c>
      <c r="K51" s="69" t="s">
        <v>179</v>
      </c>
      <c r="L51" s="40"/>
      <c r="M51" s="132" t="s">
        <v>111</v>
      </c>
      <c r="N51" s="40" t="s">
        <v>609</v>
      </c>
    </row>
    <row r="52" spans="2:15" ht="60" x14ac:dyDescent="0.25">
      <c r="B52" s="20">
        <v>1</v>
      </c>
      <c r="C52" s="98">
        <v>45769</v>
      </c>
      <c r="D52" s="20" t="s">
        <v>287</v>
      </c>
      <c r="E52" s="19" t="s">
        <v>348</v>
      </c>
      <c r="F52" s="20" t="s">
        <v>100</v>
      </c>
      <c r="G52" s="79" t="s">
        <v>318</v>
      </c>
      <c r="H52" s="20" t="s">
        <v>87</v>
      </c>
      <c r="I52" s="20" t="s">
        <v>88</v>
      </c>
      <c r="J52" s="20" t="s">
        <v>89</v>
      </c>
      <c r="K52" s="69" t="s">
        <v>319</v>
      </c>
      <c r="L52" s="40"/>
      <c r="M52" s="132" t="s">
        <v>111</v>
      </c>
      <c r="N52" s="40"/>
    </row>
    <row r="53" spans="2:15" ht="60" x14ac:dyDescent="0.25">
      <c r="B53" s="20">
        <v>1</v>
      </c>
      <c r="C53" s="98">
        <v>45769</v>
      </c>
      <c r="D53" s="20" t="s">
        <v>287</v>
      </c>
      <c r="E53" s="19" t="s">
        <v>349</v>
      </c>
      <c r="F53" s="20" t="s">
        <v>100</v>
      </c>
      <c r="G53" s="79" t="s">
        <v>274</v>
      </c>
      <c r="H53" s="20" t="s">
        <v>87</v>
      </c>
      <c r="I53" s="20" t="s">
        <v>88</v>
      </c>
      <c r="J53" s="20" t="s">
        <v>89</v>
      </c>
      <c r="K53" s="69" t="s">
        <v>275</v>
      </c>
      <c r="L53" s="40"/>
      <c r="M53" s="132" t="s">
        <v>111</v>
      </c>
      <c r="N53" s="40" t="s">
        <v>334</v>
      </c>
    </row>
    <row r="54" spans="2:15" ht="60" x14ac:dyDescent="0.25">
      <c r="B54" s="20">
        <v>1</v>
      </c>
      <c r="C54" s="98">
        <v>45769</v>
      </c>
      <c r="D54" s="20" t="s">
        <v>287</v>
      </c>
      <c r="E54" s="19" t="s">
        <v>351</v>
      </c>
      <c r="F54" s="20" t="s">
        <v>100</v>
      </c>
      <c r="G54" s="131" t="s">
        <v>276</v>
      </c>
      <c r="H54" s="20" t="s">
        <v>87</v>
      </c>
      <c r="I54" s="20" t="s">
        <v>88</v>
      </c>
      <c r="J54" s="20" t="s">
        <v>89</v>
      </c>
      <c r="K54" s="69" t="s">
        <v>176</v>
      </c>
      <c r="L54" s="40"/>
      <c r="M54" s="127" t="s">
        <v>91</v>
      </c>
      <c r="N54" s="40"/>
    </row>
    <row r="55" spans="2:15" ht="60" x14ac:dyDescent="0.25">
      <c r="B55" s="20">
        <v>1</v>
      </c>
      <c r="C55" s="98">
        <v>45769</v>
      </c>
      <c r="D55" s="20" t="s">
        <v>287</v>
      </c>
      <c r="E55" s="19" t="s">
        <v>418</v>
      </c>
      <c r="F55" s="20" t="s">
        <v>100</v>
      </c>
      <c r="G55" s="131" t="s">
        <v>277</v>
      </c>
      <c r="H55" s="20" t="s">
        <v>87</v>
      </c>
      <c r="I55" s="20" t="s">
        <v>88</v>
      </c>
      <c r="J55" s="20" t="s">
        <v>89</v>
      </c>
      <c r="K55" s="20" t="s">
        <v>285</v>
      </c>
      <c r="L55" s="40"/>
      <c r="M55" s="132" t="s">
        <v>111</v>
      </c>
      <c r="N55" s="40" t="s">
        <v>603</v>
      </c>
    </row>
    <row r="56" spans="2:15" ht="60" x14ac:dyDescent="0.25">
      <c r="B56" s="20">
        <v>1</v>
      </c>
      <c r="C56" s="98">
        <v>45769</v>
      </c>
      <c r="D56" s="20" t="s">
        <v>287</v>
      </c>
      <c r="E56" s="19" t="s">
        <v>419</v>
      </c>
      <c r="F56" s="20" t="s">
        <v>100</v>
      </c>
      <c r="G56" s="131" t="s">
        <v>279</v>
      </c>
      <c r="H56" s="20" t="s">
        <v>87</v>
      </c>
      <c r="I56" s="20" t="s">
        <v>88</v>
      </c>
      <c r="J56" s="20" t="s">
        <v>89</v>
      </c>
      <c r="K56" s="69" t="s">
        <v>190</v>
      </c>
      <c r="L56" s="40"/>
      <c r="M56" s="132" t="s">
        <v>111</v>
      </c>
      <c r="N56" s="40" t="s">
        <v>825</v>
      </c>
    </row>
    <row r="57" spans="2:15" ht="60" x14ac:dyDescent="0.25">
      <c r="B57" s="20">
        <v>1</v>
      </c>
      <c r="C57" s="98">
        <v>45769</v>
      </c>
      <c r="D57" s="20" t="s">
        <v>287</v>
      </c>
      <c r="E57" s="19" t="s">
        <v>420</v>
      </c>
      <c r="F57" s="20" t="s">
        <v>100</v>
      </c>
      <c r="G57" s="79" t="s">
        <v>281</v>
      </c>
      <c r="H57" s="20" t="s">
        <v>87</v>
      </c>
      <c r="I57" s="20" t="s">
        <v>88</v>
      </c>
      <c r="J57" s="20" t="s">
        <v>89</v>
      </c>
      <c r="K57" s="69" t="s">
        <v>202</v>
      </c>
      <c r="L57" s="40"/>
      <c r="M57" s="132" t="s">
        <v>111</v>
      </c>
      <c r="N57" s="40"/>
    </row>
    <row r="58" spans="2:15" ht="60" x14ac:dyDescent="0.25">
      <c r="B58" s="20">
        <v>1</v>
      </c>
      <c r="C58" s="98">
        <v>45769</v>
      </c>
      <c r="D58" s="20" t="s">
        <v>287</v>
      </c>
      <c r="E58" s="19" t="s">
        <v>421</v>
      </c>
      <c r="F58" s="20" t="s">
        <v>100</v>
      </c>
      <c r="G58" s="130" t="s">
        <v>280</v>
      </c>
      <c r="H58" s="20" t="s">
        <v>87</v>
      </c>
      <c r="I58" s="20" t="s">
        <v>88</v>
      </c>
      <c r="J58" s="20" t="s">
        <v>89</v>
      </c>
      <c r="K58" s="69" t="s">
        <v>202</v>
      </c>
      <c r="L58" s="40"/>
      <c r="M58" s="132" t="s">
        <v>111</v>
      </c>
      <c r="N58" s="40"/>
    </row>
    <row r="59" spans="2:15" ht="60" x14ac:dyDescent="0.25">
      <c r="B59" s="20">
        <v>1</v>
      </c>
      <c r="C59" s="98">
        <v>45769</v>
      </c>
      <c r="D59" s="20" t="s">
        <v>286</v>
      </c>
      <c r="E59" s="19" t="s">
        <v>422</v>
      </c>
      <c r="F59" s="20" t="s">
        <v>100</v>
      </c>
      <c r="G59" s="100" t="s">
        <v>269</v>
      </c>
      <c r="H59" s="20" t="s">
        <v>87</v>
      </c>
      <c r="I59" s="20" t="s">
        <v>88</v>
      </c>
      <c r="J59" s="20" t="s">
        <v>89</v>
      </c>
      <c r="K59" s="69" t="s">
        <v>179</v>
      </c>
      <c r="L59" s="40"/>
      <c r="M59" s="132" t="s">
        <v>111</v>
      </c>
      <c r="N59" s="14" t="s">
        <v>755</v>
      </c>
    </row>
    <row r="60" spans="2:15" ht="60" x14ac:dyDescent="0.25">
      <c r="B60" s="20">
        <v>1</v>
      </c>
      <c r="C60" s="98">
        <v>45769</v>
      </c>
      <c r="D60" s="20" t="s">
        <v>287</v>
      </c>
      <c r="E60" s="19" t="s">
        <v>423</v>
      </c>
      <c r="F60" s="20" t="s">
        <v>100</v>
      </c>
      <c r="G60" s="82" t="s">
        <v>255</v>
      </c>
      <c r="H60" s="20" t="s">
        <v>87</v>
      </c>
      <c r="I60" s="20" t="s">
        <v>88</v>
      </c>
      <c r="J60" s="20" t="s">
        <v>89</v>
      </c>
      <c r="K60" s="20" t="s">
        <v>179</v>
      </c>
      <c r="L60" s="40"/>
      <c r="M60" s="132" t="s">
        <v>111</v>
      </c>
      <c r="N60" s="14" t="s">
        <v>755</v>
      </c>
    </row>
    <row r="61" spans="2:15" ht="337.5" customHeight="1" x14ac:dyDescent="0.25">
      <c r="B61" s="20">
        <v>1</v>
      </c>
      <c r="C61" s="98">
        <v>45778</v>
      </c>
      <c r="D61" s="20" t="s">
        <v>83</v>
      </c>
      <c r="E61" s="19" t="s">
        <v>424</v>
      </c>
      <c r="F61" s="20" t="s">
        <v>100</v>
      </c>
      <c r="G61" s="82" t="s">
        <v>300</v>
      </c>
      <c r="H61" s="20" t="s">
        <v>99</v>
      </c>
      <c r="I61" s="20" t="s">
        <v>195</v>
      </c>
      <c r="J61" s="20" t="s">
        <v>301</v>
      </c>
      <c r="K61" s="20" t="s">
        <v>141</v>
      </c>
      <c r="L61" s="40"/>
      <c r="M61" s="114" t="s">
        <v>111</v>
      </c>
      <c r="N61" s="40"/>
    </row>
    <row r="62" spans="2:15" ht="105" x14ac:dyDescent="0.25">
      <c r="B62" s="20">
        <v>58</v>
      </c>
      <c r="C62" s="98">
        <v>45781</v>
      </c>
      <c r="D62" s="20" t="s">
        <v>83</v>
      </c>
      <c r="E62" s="19" t="s">
        <v>425</v>
      </c>
      <c r="F62" s="20" t="s">
        <v>85</v>
      </c>
      <c r="G62" s="82" t="s">
        <v>258</v>
      </c>
      <c r="H62" s="20" t="s">
        <v>87</v>
      </c>
      <c r="I62" s="20" t="s">
        <v>88</v>
      </c>
      <c r="J62" s="20" t="s">
        <v>89</v>
      </c>
      <c r="K62" s="49" t="s">
        <v>179</v>
      </c>
      <c r="L62" s="40"/>
      <c r="M62" s="114" t="s">
        <v>111</v>
      </c>
      <c r="N62" s="19" t="s">
        <v>817</v>
      </c>
      <c r="O62"/>
    </row>
    <row r="63" spans="2:15" ht="63" x14ac:dyDescent="0.25">
      <c r="B63" s="20">
        <v>1</v>
      </c>
      <c r="C63" s="98">
        <v>45797</v>
      </c>
      <c r="D63" s="20" t="s">
        <v>83</v>
      </c>
      <c r="E63" s="19" t="s">
        <v>426</v>
      </c>
      <c r="F63" s="20" t="s">
        <v>100</v>
      </c>
      <c r="G63" s="32" t="s">
        <v>308</v>
      </c>
      <c r="H63" s="20" t="s">
        <v>87</v>
      </c>
      <c r="I63" s="20" t="s">
        <v>88</v>
      </c>
      <c r="J63" s="20" t="s">
        <v>89</v>
      </c>
      <c r="K63" s="32" t="s">
        <v>179</v>
      </c>
      <c r="L63" s="40"/>
      <c r="M63" s="114" t="s">
        <v>111</v>
      </c>
      <c r="N63" s="40"/>
      <c r="O63"/>
    </row>
    <row r="64" spans="2:15" ht="60" x14ac:dyDescent="0.25">
      <c r="B64" s="20">
        <v>1</v>
      </c>
      <c r="C64" s="111">
        <v>45807</v>
      </c>
      <c r="D64" s="14" t="s">
        <v>400</v>
      </c>
      <c r="E64" s="19" t="s">
        <v>427</v>
      </c>
      <c r="F64" s="20" t="s">
        <v>100</v>
      </c>
      <c r="G64" s="82" t="s">
        <v>478</v>
      </c>
      <c r="H64" s="20" t="s">
        <v>87</v>
      </c>
      <c r="I64" s="20" t="s">
        <v>88</v>
      </c>
      <c r="J64" s="20" t="s">
        <v>89</v>
      </c>
      <c r="K64" s="32" t="s">
        <v>284</v>
      </c>
      <c r="L64" s="40"/>
      <c r="M64" s="114" t="s">
        <v>111</v>
      </c>
      <c r="N64" s="40"/>
      <c r="O64"/>
    </row>
    <row r="65" spans="2:15" ht="60" x14ac:dyDescent="0.25">
      <c r="B65" s="20">
        <v>1</v>
      </c>
      <c r="C65" s="111">
        <v>45807</v>
      </c>
      <c r="D65" s="14" t="s">
        <v>400</v>
      </c>
      <c r="E65" s="19" t="s">
        <v>428</v>
      </c>
      <c r="F65" s="20" t="s">
        <v>100</v>
      </c>
      <c r="G65" s="82" t="s">
        <v>479</v>
      </c>
      <c r="H65" s="20" t="s">
        <v>87</v>
      </c>
      <c r="I65" s="20" t="s">
        <v>88</v>
      </c>
      <c r="J65" s="20" t="s">
        <v>89</v>
      </c>
      <c r="K65" s="32" t="s">
        <v>284</v>
      </c>
      <c r="L65" s="40"/>
      <c r="M65" s="114" t="s">
        <v>111</v>
      </c>
      <c r="N65" s="40"/>
      <c r="O65"/>
    </row>
    <row r="66" spans="2:15" ht="60" x14ac:dyDescent="0.25">
      <c r="B66" s="20">
        <v>1</v>
      </c>
      <c r="C66" s="111">
        <v>45807</v>
      </c>
      <c r="D66" s="14" t="s">
        <v>400</v>
      </c>
      <c r="E66" s="19" t="s">
        <v>429</v>
      </c>
      <c r="F66" s="20" t="s">
        <v>100</v>
      </c>
      <c r="G66" s="82" t="s">
        <v>480</v>
      </c>
      <c r="H66" s="20" t="s">
        <v>87</v>
      </c>
      <c r="I66" s="20" t="s">
        <v>88</v>
      </c>
      <c r="J66" s="20" t="s">
        <v>89</v>
      </c>
      <c r="K66" s="32" t="s">
        <v>284</v>
      </c>
      <c r="L66" s="40"/>
      <c r="M66" s="114" t="s">
        <v>111</v>
      </c>
      <c r="N66" s="40"/>
      <c r="O66"/>
    </row>
    <row r="67" spans="2:15" ht="60" x14ac:dyDescent="0.25">
      <c r="B67" s="20">
        <v>1</v>
      </c>
      <c r="C67" s="111">
        <v>45807</v>
      </c>
      <c r="D67" s="14" t="s">
        <v>400</v>
      </c>
      <c r="E67" s="19" t="s">
        <v>430</v>
      </c>
      <c r="F67" s="20" t="s">
        <v>100</v>
      </c>
      <c r="G67" s="82" t="s">
        <v>481</v>
      </c>
      <c r="H67" s="20" t="s">
        <v>87</v>
      </c>
      <c r="I67" s="20" t="s">
        <v>88</v>
      </c>
      <c r="J67" s="20" t="s">
        <v>89</v>
      </c>
      <c r="K67" s="32" t="s">
        <v>284</v>
      </c>
      <c r="L67" s="40"/>
      <c r="M67" s="114" t="s">
        <v>111</v>
      </c>
      <c r="N67" s="40"/>
      <c r="O67"/>
    </row>
    <row r="68" spans="2:15" ht="60" x14ac:dyDescent="0.25">
      <c r="B68" s="20">
        <v>1</v>
      </c>
      <c r="C68" s="111">
        <v>45807</v>
      </c>
      <c r="D68" s="14" t="s">
        <v>400</v>
      </c>
      <c r="E68" s="19" t="s">
        <v>431</v>
      </c>
      <c r="F68" s="20" t="s">
        <v>100</v>
      </c>
      <c r="G68" s="82" t="s">
        <v>482</v>
      </c>
      <c r="H68" s="20" t="s">
        <v>87</v>
      </c>
      <c r="I68" s="20" t="s">
        <v>88</v>
      </c>
      <c r="J68" s="20" t="s">
        <v>89</v>
      </c>
      <c r="K68" s="32" t="s">
        <v>284</v>
      </c>
      <c r="L68" s="40"/>
      <c r="M68" s="114" t="s">
        <v>111</v>
      </c>
      <c r="N68" s="40"/>
      <c r="O68"/>
    </row>
    <row r="69" spans="2:15" ht="60" x14ac:dyDescent="0.25">
      <c r="B69" s="20">
        <v>1</v>
      </c>
      <c r="C69" s="111">
        <v>45807</v>
      </c>
      <c r="D69" s="14" t="s">
        <v>400</v>
      </c>
      <c r="E69" s="19" t="s">
        <v>432</v>
      </c>
      <c r="F69" s="20" t="s">
        <v>100</v>
      </c>
      <c r="G69" s="82" t="s">
        <v>483</v>
      </c>
      <c r="H69" s="20" t="s">
        <v>87</v>
      </c>
      <c r="I69" s="20" t="s">
        <v>88</v>
      </c>
      <c r="J69" s="20" t="s">
        <v>89</v>
      </c>
      <c r="K69" s="32" t="s">
        <v>284</v>
      </c>
      <c r="L69" s="40"/>
      <c r="M69" s="114" t="s">
        <v>111</v>
      </c>
      <c r="N69" s="40"/>
      <c r="O69"/>
    </row>
    <row r="70" spans="2:15" ht="60" x14ac:dyDescent="0.25">
      <c r="B70" s="20">
        <v>1</v>
      </c>
      <c r="C70" s="111">
        <v>45807</v>
      </c>
      <c r="D70" s="14" t="s">
        <v>400</v>
      </c>
      <c r="E70" s="19" t="s">
        <v>433</v>
      </c>
      <c r="F70" s="20" t="s">
        <v>100</v>
      </c>
      <c r="G70" s="82" t="s">
        <v>484</v>
      </c>
      <c r="H70" s="20" t="s">
        <v>87</v>
      </c>
      <c r="I70" s="20" t="s">
        <v>88</v>
      </c>
      <c r="J70" s="20" t="s">
        <v>89</v>
      </c>
      <c r="K70" s="32" t="s">
        <v>284</v>
      </c>
      <c r="L70" s="40"/>
      <c r="M70" s="114" t="s">
        <v>111</v>
      </c>
      <c r="N70" s="40"/>
      <c r="O70"/>
    </row>
    <row r="71" spans="2:15" ht="60" x14ac:dyDescent="0.25">
      <c r="B71" s="20">
        <v>1</v>
      </c>
      <c r="C71" s="111">
        <v>45807</v>
      </c>
      <c r="D71" s="14" t="s">
        <v>400</v>
      </c>
      <c r="E71" s="19" t="s">
        <v>434</v>
      </c>
      <c r="F71" s="20" t="s">
        <v>100</v>
      </c>
      <c r="G71" s="82" t="s">
        <v>485</v>
      </c>
      <c r="H71" s="20" t="s">
        <v>87</v>
      </c>
      <c r="I71" s="20" t="s">
        <v>88</v>
      </c>
      <c r="J71" s="20" t="s">
        <v>89</v>
      </c>
      <c r="K71" s="32" t="s">
        <v>284</v>
      </c>
      <c r="L71" s="40"/>
      <c r="M71" s="114" t="s">
        <v>111</v>
      </c>
      <c r="N71" s="40"/>
      <c r="O71"/>
    </row>
    <row r="72" spans="2:15" ht="60" x14ac:dyDescent="0.25">
      <c r="B72" s="20">
        <v>1</v>
      </c>
      <c r="C72" s="111">
        <v>45807</v>
      </c>
      <c r="D72" s="14" t="s">
        <v>400</v>
      </c>
      <c r="E72" s="19" t="s">
        <v>496</v>
      </c>
      <c r="F72" s="20" t="s">
        <v>100</v>
      </c>
      <c r="G72" s="82" t="s">
        <v>486</v>
      </c>
      <c r="H72" s="20" t="s">
        <v>87</v>
      </c>
      <c r="I72" s="20" t="s">
        <v>88</v>
      </c>
      <c r="J72" s="20" t="s">
        <v>89</v>
      </c>
      <c r="K72" s="32" t="s">
        <v>284</v>
      </c>
      <c r="L72" s="40"/>
      <c r="M72" s="114" t="s">
        <v>111</v>
      </c>
      <c r="N72" s="40"/>
      <c r="O72"/>
    </row>
    <row r="73" spans="2:15" ht="60" x14ac:dyDescent="0.25">
      <c r="B73" s="20">
        <v>1</v>
      </c>
      <c r="C73" s="111">
        <v>45807</v>
      </c>
      <c r="D73" s="14" t="s">
        <v>400</v>
      </c>
      <c r="E73" s="19" t="s">
        <v>497</v>
      </c>
      <c r="F73" s="20" t="s">
        <v>100</v>
      </c>
      <c r="G73" s="82" t="s">
        <v>487</v>
      </c>
      <c r="H73" s="20" t="s">
        <v>87</v>
      </c>
      <c r="I73" s="20" t="s">
        <v>88</v>
      </c>
      <c r="J73" s="20" t="s">
        <v>89</v>
      </c>
      <c r="K73" s="32" t="s">
        <v>284</v>
      </c>
      <c r="L73" s="40"/>
      <c r="M73" s="114" t="s">
        <v>111</v>
      </c>
      <c r="N73" s="40"/>
      <c r="O73"/>
    </row>
    <row r="74" spans="2:15" ht="60" x14ac:dyDescent="0.25">
      <c r="B74" s="20">
        <v>1</v>
      </c>
      <c r="C74" s="111">
        <v>45807</v>
      </c>
      <c r="D74" s="14" t="s">
        <v>400</v>
      </c>
      <c r="E74" s="19" t="s">
        <v>435</v>
      </c>
      <c r="F74" s="20" t="s">
        <v>100</v>
      </c>
      <c r="G74" s="82" t="s">
        <v>488</v>
      </c>
      <c r="H74" s="20" t="s">
        <v>87</v>
      </c>
      <c r="I74" s="20" t="s">
        <v>88</v>
      </c>
      <c r="J74" s="20" t="s">
        <v>89</v>
      </c>
      <c r="K74" s="32" t="s">
        <v>284</v>
      </c>
      <c r="L74" s="40"/>
      <c r="M74" s="114" t="s">
        <v>111</v>
      </c>
      <c r="N74" s="40"/>
      <c r="O74"/>
    </row>
    <row r="75" spans="2:15" ht="60" x14ac:dyDescent="0.25">
      <c r="B75" s="20">
        <v>1</v>
      </c>
      <c r="C75" s="111">
        <v>45807</v>
      </c>
      <c r="D75" s="14" t="s">
        <v>400</v>
      </c>
      <c r="E75" s="19" t="s">
        <v>437</v>
      </c>
      <c r="F75" s="20" t="s">
        <v>100</v>
      </c>
      <c r="G75" s="82" t="s">
        <v>489</v>
      </c>
      <c r="H75" s="20" t="s">
        <v>87</v>
      </c>
      <c r="I75" s="20" t="s">
        <v>88</v>
      </c>
      <c r="J75" s="20" t="s">
        <v>89</v>
      </c>
      <c r="K75" s="32" t="s">
        <v>284</v>
      </c>
      <c r="L75" s="40"/>
      <c r="M75" s="114" t="s">
        <v>111</v>
      </c>
      <c r="N75" s="40"/>
      <c r="O75"/>
    </row>
    <row r="76" spans="2:15" ht="60" x14ac:dyDescent="0.25">
      <c r="B76" s="20">
        <v>1</v>
      </c>
      <c r="C76" s="111">
        <v>45807</v>
      </c>
      <c r="D76" s="14" t="s">
        <v>400</v>
      </c>
      <c r="E76" s="19" t="s">
        <v>436</v>
      </c>
      <c r="F76" s="20" t="s">
        <v>100</v>
      </c>
      <c r="G76" s="82" t="s">
        <v>490</v>
      </c>
      <c r="H76" s="20" t="s">
        <v>87</v>
      </c>
      <c r="I76" s="20" t="s">
        <v>88</v>
      </c>
      <c r="J76" s="20" t="s">
        <v>89</v>
      </c>
      <c r="K76" s="32" t="s">
        <v>284</v>
      </c>
      <c r="L76" s="40"/>
      <c r="M76" s="114" t="s">
        <v>111</v>
      </c>
      <c r="N76" s="40"/>
      <c r="O76"/>
    </row>
    <row r="77" spans="2:15" ht="60" x14ac:dyDescent="0.25">
      <c r="B77" s="20">
        <v>1</v>
      </c>
      <c r="C77" s="111">
        <v>45807</v>
      </c>
      <c r="D77" s="14" t="s">
        <v>400</v>
      </c>
      <c r="E77" s="19" t="s">
        <v>438</v>
      </c>
      <c r="F77" s="20" t="s">
        <v>100</v>
      </c>
      <c r="G77" s="82" t="s">
        <v>491</v>
      </c>
      <c r="H77" s="20" t="s">
        <v>87</v>
      </c>
      <c r="I77" s="20" t="s">
        <v>88</v>
      </c>
      <c r="J77" s="20" t="s">
        <v>89</v>
      </c>
      <c r="K77" s="32" t="s">
        <v>284</v>
      </c>
      <c r="L77" s="40"/>
      <c r="M77" s="114" t="s">
        <v>111</v>
      </c>
      <c r="N77" s="40"/>
      <c r="O77"/>
    </row>
    <row r="78" spans="2:15" ht="60" x14ac:dyDescent="0.25">
      <c r="B78" s="20">
        <v>1</v>
      </c>
      <c r="C78" s="111">
        <v>45807</v>
      </c>
      <c r="D78" s="14" t="s">
        <v>400</v>
      </c>
      <c r="E78" s="19" t="s">
        <v>439</v>
      </c>
      <c r="F78" s="20" t="s">
        <v>100</v>
      </c>
      <c r="G78" s="82" t="s">
        <v>492</v>
      </c>
      <c r="H78" s="20" t="s">
        <v>87</v>
      </c>
      <c r="I78" s="20" t="s">
        <v>88</v>
      </c>
      <c r="J78" s="20" t="s">
        <v>89</v>
      </c>
      <c r="K78" s="32" t="s">
        <v>284</v>
      </c>
      <c r="L78" s="40"/>
      <c r="M78" s="114" t="s">
        <v>111</v>
      </c>
      <c r="N78" s="40"/>
      <c r="O78"/>
    </row>
    <row r="79" spans="2:15" ht="60" x14ac:dyDescent="0.25">
      <c r="B79" s="20">
        <v>1</v>
      </c>
      <c r="C79" s="111">
        <v>45807</v>
      </c>
      <c r="D79" s="14" t="s">
        <v>400</v>
      </c>
      <c r="E79" s="19" t="s">
        <v>440</v>
      </c>
      <c r="F79" s="20" t="s">
        <v>100</v>
      </c>
      <c r="G79" s="82" t="s">
        <v>493</v>
      </c>
      <c r="H79" s="20" t="s">
        <v>87</v>
      </c>
      <c r="I79" s="20" t="s">
        <v>88</v>
      </c>
      <c r="J79" s="20" t="s">
        <v>89</v>
      </c>
      <c r="K79" s="32" t="s">
        <v>284</v>
      </c>
      <c r="L79" s="40"/>
      <c r="M79" s="114" t="s">
        <v>111</v>
      </c>
      <c r="N79" s="40"/>
      <c r="O79"/>
    </row>
    <row r="80" spans="2:15" ht="60" x14ac:dyDescent="0.25">
      <c r="B80" s="20">
        <v>1</v>
      </c>
      <c r="C80" s="111">
        <v>45807</v>
      </c>
      <c r="D80" s="14" t="s">
        <v>400</v>
      </c>
      <c r="E80" s="19" t="s">
        <v>441</v>
      </c>
      <c r="F80" s="20" t="s">
        <v>100</v>
      </c>
      <c r="G80" s="82" t="s">
        <v>494</v>
      </c>
      <c r="H80" s="20" t="s">
        <v>87</v>
      </c>
      <c r="I80" s="20" t="s">
        <v>88</v>
      </c>
      <c r="J80" s="20" t="s">
        <v>89</v>
      </c>
      <c r="K80" s="32" t="s">
        <v>284</v>
      </c>
      <c r="L80" s="40"/>
      <c r="M80" s="114" t="s">
        <v>111</v>
      </c>
      <c r="N80" s="40"/>
      <c r="O80"/>
    </row>
    <row r="81" spans="2:15" ht="60" x14ac:dyDescent="0.25">
      <c r="B81" s="20">
        <v>1</v>
      </c>
      <c r="C81" s="111">
        <v>45807</v>
      </c>
      <c r="D81" s="14" t="s">
        <v>400</v>
      </c>
      <c r="E81" s="19" t="s">
        <v>442</v>
      </c>
      <c r="F81" s="20" t="s">
        <v>100</v>
      </c>
      <c r="G81" s="82" t="s">
        <v>495</v>
      </c>
      <c r="H81" s="20" t="s">
        <v>87</v>
      </c>
      <c r="I81" s="20" t="s">
        <v>88</v>
      </c>
      <c r="J81" s="20" t="s">
        <v>89</v>
      </c>
      <c r="K81" s="32" t="s">
        <v>284</v>
      </c>
      <c r="L81" s="40"/>
      <c r="M81" s="114" t="s">
        <v>111</v>
      </c>
      <c r="N81" s="40"/>
      <c r="O81"/>
    </row>
    <row r="82" spans="2:15" ht="96.75" customHeight="1" x14ac:dyDescent="0.25">
      <c r="B82" s="20">
        <v>1</v>
      </c>
      <c r="C82" s="98">
        <v>45800</v>
      </c>
      <c r="D82" s="20" t="s">
        <v>83</v>
      </c>
      <c r="E82" s="19" t="s">
        <v>443</v>
      </c>
      <c r="F82" s="20" t="s">
        <v>100</v>
      </c>
      <c r="G82" s="82" t="s">
        <v>314</v>
      </c>
      <c r="H82" s="20" t="s">
        <v>87</v>
      </c>
      <c r="I82" s="20" t="s">
        <v>88</v>
      </c>
      <c r="J82" s="20" t="s">
        <v>89</v>
      </c>
      <c r="K82" s="32" t="s">
        <v>179</v>
      </c>
      <c r="L82" s="40"/>
      <c r="M82" s="114" t="s">
        <v>111</v>
      </c>
      <c r="N82" s="40" t="s">
        <v>816</v>
      </c>
      <c r="O82"/>
    </row>
    <row r="83" spans="2:15" ht="206.25" customHeight="1" x14ac:dyDescent="0.25">
      <c r="B83" s="20">
        <v>1</v>
      </c>
      <c r="C83" s="98">
        <v>45811</v>
      </c>
      <c r="D83" s="20" t="s">
        <v>83</v>
      </c>
      <c r="E83" s="20" t="s">
        <v>444</v>
      </c>
      <c r="F83" s="20" t="s">
        <v>100</v>
      </c>
      <c r="G83" s="32" t="s">
        <v>321</v>
      </c>
      <c r="H83" s="20" t="s">
        <v>87</v>
      </c>
      <c r="I83" s="20" t="s">
        <v>88</v>
      </c>
      <c r="J83" s="20" t="s">
        <v>89</v>
      </c>
      <c r="K83" s="32" t="s">
        <v>179</v>
      </c>
      <c r="L83" s="40"/>
      <c r="M83" s="114" t="s">
        <v>111</v>
      </c>
      <c r="N83" s="40"/>
      <c r="O83"/>
    </row>
    <row r="84" spans="2:15" ht="318" customHeight="1" x14ac:dyDescent="0.25">
      <c r="B84" s="20">
        <v>1</v>
      </c>
      <c r="C84" s="98">
        <v>45816</v>
      </c>
      <c r="D84" s="20" t="s">
        <v>83</v>
      </c>
      <c r="E84" s="20" t="s">
        <v>445</v>
      </c>
      <c r="F84" s="20" t="s">
        <v>100</v>
      </c>
      <c r="G84" s="32" t="s">
        <v>323</v>
      </c>
      <c r="H84" s="20" t="s">
        <v>87</v>
      </c>
      <c r="I84" s="20" t="s">
        <v>324</v>
      </c>
      <c r="J84" s="20" t="s">
        <v>89</v>
      </c>
      <c r="K84" s="32" t="s">
        <v>179</v>
      </c>
      <c r="L84" s="40"/>
      <c r="M84" s="114" t="s">
        <v>111</v>
      </c>
      <c r="N84" s="40"/>
      <c r="O84"/>
    </row>
    <row r="85" spans="2:15" ht="90" x14ac:dyDescent="0.25">
      <c r="B85" s="20">
        <v>1</v>
      </c>
      <c r="C85" s="98">
        <v>45821</v>
      </c>
      <c r="D85" s="20" t="s">
        <v>83</v>
      </c>
      <c r="E85" s="20" t="s">
        <v>446</v>
      </c>
      <c r="F85" s="20" t="s">
        <v>100</v>
      </c>
      <c r="G85" s="82" t="s">
        <v>613</v>
      </c>
      <c r="H85" s="20" t="s">
        <v>99</v>
      </c>
      <c r="I85" s="20" t="s">
        <v>88</v>
      </c>
      <c r="J85" s="20" t="s">
        <v>89</v>
      </c>
      <c r="K85" s="69" t="s">
        <v>98</v>
      </c>
      <c r="L85" s="40"/>
      <c r="M85" s="161" t="s">
        <v>110</v>
      </c>
      <c r="N85" s="40" t="s">
        <v>569</v>
      </c>
    </row>
    <row r="86" spans="2:15" ht="60" x14ac:dyDescent="0.25">
      <c r="B86" s="20">
        <v>1</v>
      </c>
      <c r="C86" s="98">
        <v>45824</v>
      </c>
      <c r="D86" s="20" t="s">
        <v>83</v>
      </c>
      <c r="E86" s="20" t="s">
        <v>447</v>
      </c>
      <c r="F86" s="20" t="s">
        <v>100</v>
      </c>
      <c r="G86" s="82" t="s">
        <v>615</v>
      </c>
      <c r="H86" s="20" t="s">
        <v>87</v>
      </c>
      <c r="I86" s="20" t="s">
        <v>88</v>
      </c>
      <c r="J86" s="20" t="s">
        <v>89</v>
      </c>
      <c r="K86" s="32" t="s">
        <v>179</v>
      </c>
      <c r="L86" s="40"/>
      <c r="M86" s="161" t="s">
        <v>110</v>
      </c>
      <c r="N86" s="40" t="s">
        <v>816</v>
      </c>
    </row>
    <row r="87" spans="2:15" ht="75" x14ac:dyDescent="0.25">
      <c r="B87" s="20">
        <v>1</v>
      </c>
      <c r="C87" s="98">
        <v>45835</v>
      </c>
      <c r="D87" s="20" t="s">
        <v>83</v>
      </c>
      <c r="E87" s="20" t="s">
        <v>448</v>
      </c>
      <c r="F87" s="20" t="s">
        <v>100</v>
      </c>
      <c r="G87" s="82" t="s">
        <v>336</v>
      </c>
      <c r="H87" s="20" t="s">
        <v>87</v>
      </c>
      <c r="I87" s="20" t="s">
        <v>88</v>
      </c>
      <c r="J87" s="20" t="s">
        <v>89</v>
      </c>
      <c r="K87" s="32" t="s">
        <v>179</v>
      </c>
      <c r="L87" s="40"/>
      <c r="M87" s="161" t="s">
        <v>110</v>
      </c>
      <c r="N87" s="40"/>
    </row>
    <row r="88" spans="2:15" ht="180" x14ac:dyDescent="0.25">
      <c r="B88" s="20">
        <v>1</v>
      </c>
      <c r="C88" s="98">
        <v>45836</v>
      </c>
      <c r="D88" s="20" t="s">
        <v>83</v>
      </c>
      <c r="E88" s="20" t="s">
        <v>449</v>
      </c>
      <c r="F88" s="20" t="s">
        <v>100</v>
      </c>
      <c r="G88" s="82" t="s">
        <v>616</v>
      </c>
      <c r="H88" s="20" t="s">
        <v>87</v>
      </c>
      <c r="I88" s="20" t="s">
        <v>88</v>
      </c>
      <c r="J88" s="20" t="s">
        <v>89</v>
      </c>
      <c r="K88" s="32" t="s">
        <v>176</v>
      </c>
      <c r="L88" s="40"/>
      <c r="M88" s="127" t="s">
        <v>91</v>
      </c>
      <c r="N88" s="40"/>
    </row>
    <row r="89" spans="2:15" ht="45" x14ac:dyDescent="0.25">
      <c r="B89" s="20">
        <v>85</v>
      </c>
      <c r="C89" s="98">
        <v>45841</v>
      </c>
      <c r="D89" s="20" t="s">
        <v>83</v>
      </c>
      <c r="E89" s="20" t="s">
        <v>450</v>
      </c>
      <c r="F89" s="20" t="s">
        <v>85</v>
      </c>
      <c r="G89" s="82" t="s">
        <v>350</v>
      </c>
      <c r="H89" s="20" t="s">
        <v>87</v>
      </c>
      <c r="I89" s="20" t="s">
        <v>88</v>
      </c>
      <c r="J89" s="20" t="s">
        <v>89</v>
      </c>
      <c r="K89" s="107" t="s">
        <v>96</v>
      </c>
      <c r="L89" s="40"/>
      <c r="M89" s="108" t="s">
        <v>91</v>
      </c>
      <c r="N89" s="40"/>
    </row>
    <row r="90" spans="2:15" s="46" customFormat="1" ht="90" x14ac:dyDescent="0.25">
      <c r="B90" s="20">
        <v>1</v>
      </c>
      <c r="C90" s="98">
        <v>45841</v>
      </c>
      <c r="D90" s="20" t="s">
        <v>83</v>
      </c>
      <c r="E90" s="20" t="s">
        <v>451</v>
      </c>
      <c r="F90" s="20" t="s">
        <v>100</v>
      </c>
      <c r="G90" s="82" t="s">
        <v>353</v>
      </c>
      <c r="H90" s="20" t="s">
        <v>87</v>
      </c>
      <c r="I90" s="20" t="s">
        <v>88</v>
      </c>
      <c r="J90" s="20" t="s">
        <v>89</v>
      </c>
      <c r="K90" s="32" t="s">
        <v>176</v>
      </c>
      <c r="L90" s="20"/>
      <c r="M90" s="127" t="s">
        <v>76</v>
      </c>
      <c r="N90" s="20"/>
      <c r="O90" s="11"/>
    </row>
    <row r="91" spans="2:15" ht="60" x14ac:dyDescent="0.25">
      <c r="B91" s="20">
        <v>1</v>
      </c>
      <c r="C91" s="98">
        <v>45848</v>
      </c>
      <c r="D91" s="14" t="s">
        <v>360</v>
      </c>
      <c r="E91" s="20" t="s">
        <v>452</v>
      </c>
      <c r="F91" s="20" t="s">
        <v>100</v>
      </c>
      <c r="G91" s="77" t="s">
        <v>617</v>
      </c>
      <c r="H91" s="20" t="s">
        <v>87</v>
      </c>
      <c r="I91" s="20" t="s">
        <v>88</v>
      </c>
      <c r="J91" s="20" t="s">
        <v>89</v>
      </c>
      <c r="K91" s="30" t="s">
        <v>141</v>
      </c>
      <c r="L91" s="40"/>
      <c r="M91" s="161" t="s">
        <v>110</v>
      </c>
      <c r="N91" s="40" t="s">
        <v>829</v>
      </c>
    </row>
    <row r="92" spans="2:15" ht="60" x14ac:dyDescent="0.25">
      <c r="B92" s="20">
        <v>1</v>
      </c>
      <c r="C92" s="98">
        <v>45848</v>
      </c>
      <c r="D92" s="14" t="s">
        <v>360</v>
      </c>
      <c r="E92" s="20" t="s">
        <v>453</v>
      </c>
      <c r="F92" s="20" t="s">
        <v>100</v>
      </c>
      <c r="G92" s="30" t="s">
        <v>618</v>
      </c>
      <c r="H92" s="20" t="s">
        <v>87</v>
      </c>
      <c r="I92" s="20" t="s">
        <v>88</v>
      </c>
      <c r="J92" s="20" t="s">
        <v>89</v>
      </c>
      <c r="K92" s="30" t="s">
        <v>141</v>
      </c>
      <c r="L92" s="40"/>
      <c r="M92" s="161" t="s">
        <v>110</v>
      </c>
      <c r="N92" s="40" t="s">
        <v>829</v>
      </c>
    </row>
    <row r="93" spans="2:15" ht="60" x14ac:dyDescent="0.25">
      <c r="B93" s="20">
        <v>1</v>
      </c>
      <c r="C93" s="98">
        <v>45848</v>
      </c>
      <c r="D93" s="14" t="s">
        <v>360</v>
      </c>
      <c r="E93" s="20" t="s">
        <v>454</v>
      </c>
      <c r="F93" s="20" t="s">
        <v>100</v>
      </c>
      <c r="G93" s="77" t="s">
        <v>619</v>
      </c>
      <c r="H93" s="20" t="s">
        <v>87</v>
      </c>
      <c r="I93" s="20" t="s">
        <v>88</v>
      </c>
      <c r="J93" s="20" t="s">
        <v>89</v>
      </c>
      <c r="K93" s="30" t="s">
        <v>389</v>
      </c>
      <c r="L93" s="40"/>
      <c r="M93" s="127" t="s">
        <v>91</v>
      </c>
      <c r="N93" s="40"/>
    </row>
    <row r="94" spans="2:15" ht="60" x14ac:dyDescent="0.25">
      <c r="B94" s="20">
        <v>1</v>
      </c>
      <c r="C94" s="98">
        <v>45848</v>
      </c>
      <c r="D94" s="14" t="s">
        <v>360</v>
      </c>
      <c r="E94" s="20" t="s">
        <v>455</v>
      </c>
      <c r="F94" s="20" t="s">
        <v>100</v>
      </c>
      <c r="G94" s="80" t="s">
        <v>359</v>
      </c>
      <c r="H94" s="20" t="s">
        <v>87</v>
      </c>
      <c r="I94" s="20" t="s">
        <v>88</v>
      </c>
      <c r="J94" s="20" t="s">
        <v>89</v>
      </c>
      <c r="K94" s="30" t="s">
        <v>202</v>
      </c>
      <c r="L94" s="40"/>
      <c r="M94" s="114" t="s">
        <v>111</v>
      </c>
      <c r="N94" s="14" t="s">
        <v>810</v>
      </c>
    </row>
    <row r="95" spans="2:15" ht="63" x14ac:dyDescent="0.25">
      <c r="B95" s="20">
        <v>1</v>
      </c>
      <c r="C95" s="98">
        <v>45848</v>
      </c>
      <c r="D95" s="14" t="s">
        <v>360</v>
      </c>
      <c r="E95" s="20" t="s">
        <v>456</v>
      </c>
      <c r="F95" s="20" t="s">
        <v>100</v>
      </c>
      <c r="G95" s="30" t="s">
        <v>362</v>
      </c>
      <c r="H95" s="20" t="s">
        <v>87</v>
      </c>
      <c r="I95" s="20" t="s">
        <v>88</v>
      </c>
      <c r="J95" s="20" t="s">
        <v>89</v>
      </c>
      <c r="K95" s="30" t="s">
        <v>202</v>
      </c>
      <c r="L95" s="40"/>
      <c r="M95" s="114" t="s">
        <v>111</v>
      </c>
      <c r="N95" s="14" t="s">
        <v>810</v>
      </c>
    </row>
    <row r="96" spans="2:15" ht="63" x14ac:dyDescent="0.25">
      <c r="B96" s="20">
        <v>1</v>
      </c>
      <c r="C96" s="98">
        <v>45848</v>
      </c>
      <c r="D96" s="14" t="s">
        <v>360</v>
      </c>
      <c r="E96" s="20" t="s">
        <v>457</v>
      </c>
      <c r="F96" s="20" t="s">
        <v>100</v>
      </c>
      <c r="G96" s="25" t="s">
        <v>364</v>
      </c>
      <c r="H96" s="20" t="s">
        <v>87</v>
      </c>
      <c r="I96" s="20" t="s">
        <v>88</v>
      </c>
      <c r="J96" s="20" t="s">
        <v>89</v>
      </c>
      <c r="K96" s="30" t="s">
        <v>202</v>
      </c>
      <c r="L96" s="40"/>
      <c r="M96" s="114" t="s">
        <v>111</v>
      </c>
      <c r="N96" s="14" t="s">
        <v>810</v>
      </c>
    </row>
    <row r="97" spans="2:14" ht="60" x14ac:dyDescent="0.25">
      <c r="B97" s="20">
        <v>1</v>
      </c>
      <c r="C97" s="98">
        <v>45848</v>
      </c>
      <c r="D97" s="14" t="s">
        <v>360</v>
      </c>
      <c r="E97" s="20" t="s">
        <v>458</v>
      </c>
      <c r="F97" s="20" t="s">
        <v>100</v>
      </c>
      <c r="G97" s="77" t="s">
        <v>363</v>
      </c>
      <c r="H97" s="20" t="s">
        <v>87</v>
      </c>
      <c r="I97" s="20" t="s">
        <v>88</v>
      </c>
      <c r="J97" s="20" t="s">
        <v>89</v>
      </c>
      <c r="K97" s="30" t="s">
        <v>202</v>
      </c>
      <c r="L97" s="40"/>
      <c r="M97" s="114" t="s">
        <v>111</v>
      </c>
      <c r="N97" s="14" t="s">
        <v>810</v>
      </c>
    </row>
    <row r="98" spans="2:14" ht="60" x14ac:dyDescent="0.25">
      <c r="B98" s="20">
        <v>1</v>
      </c>
      <c r="C98" s="98">
        <v>45848</v>
      </c>
      <c r="D98" s="14" t="s">
        <v>360</v>
      </c>
      <c r="E98" s="20" t="s">
        <v>459</v>
      </c>
      <c r="F98" s="20" t="s">
        <v>100</v>
      </c>
      <c r="G98" s="77" t="s">
        <v>365</v>
      </c>
      <c r="H98" s="20" t="s">
        <v>87</v>
      </c>
      <c r="I98" s="20" t="s">
        <v>88</v>
      </c>
      <c r="J98" s="20" t="s">
        <v>89</v>
      </c>
      <c r="K98" s="30" t="s">
        <v>394</v>
      </c>
      <c r="L98" s="40"/>
      <c r="M98" s="114" t="s">
        <v>111</v>
      </c>
      <c r="N98" s="14" t="s">
        <v>827</v>
      </c>
    </row>
    <row r="99" spans="2:14" ht="78.75" x14ac:dyDescent="0.25">
      <c r="B99" s="20">
        <v>1</v>
      </c>
      <c r="C99" s="98">
        <v>45848</v>
      </c>
      <c r="D99" s="14" t="s">
        <v>360</v>
      </c>
      <c r="E99" s="20" t="s">
        <v>460</v>
      </c>
      <c r="F99" s="20" t="s">
        <v>100</v>
      </c>
      <c r="G99" s="77" t="s">
        <v>367</v>
      </c>
      <c r="H99" s="20" t="s">
        <v>87</v>
      </c>
      <c r="I99" s="20" t="s">
        <v>88</v>
      </c>
      <c r="J99" s="20" t="s">
        <v>89</v>
      </c>
      <c r="K99" s="30" t="s">
        <v>202</v>
      </c>
      <c r="L99" s="40"/>
      <c r="M99" s="114" t="s">
        <v>111</v>
      </c>
      <c r="N99" s="14" t="s">
        <v>810</v>
      </c>
    </row>
    <row r="100" spans="2:14" ht="78.75" x14ac:dyDescent="0.25">
      <c r="B100" s="20">
        <v>1</v>
      </c>
      <c r="C100" s="98">
        <v>45848</v>
      </c>
      <c r="D100" s="14" t="s">
        <v>360</v>
      </c>
      <c r="E100" s="20" t="s">
        <v>461</v>
      </c>
      <c r="F100" s="20" t="s">
        <v>100</v>
      </c>
      <c r="G100" s="141" t="s">
        <v>379</v>
      </c>
      <c r="H100" s="20" t="s">
        <v>87</v>
      </c>
      <c r="I100" s="20" t="s">
        <v>88</v>
      </c>
      <c r="J100" s="20" t="s">
        <v>89</v>
      </c>
      <c r="K100" s="30" t="s">
        <v>395</v>
      </c>
      <c r="L100" s="40"/>
      <c r="M100" s="161" t="s">
        <v>110</v>
      </c>
      <c r="N100" s="40"/>
    </row>
    <row r="101" spans="2:14" ht="60" x14ac:dyDescent="0.25">
      <c r="B101" s="20">
        <v>1</v>
      </c>
      <c r="C101" s="98">
        <v>45848</v>
      </c>
      <c r="D101" s="14" t="s">
        <v>360</v>
      </c>
      <c r="E101" s="20" t="s">
        <v>462</v>
      </c>
      <c r="F101" s="20" t="s">
        <v>100</v>
      </c>
      <c r="G101" s="79" t="s">
        <v>366</v>
      </c>
      <c r="H101" s="20" t="s">
        <v>87</v>
      </c>
      <c r="I101" s="20" t="s">
        <v>88</v>
      </c>
      <c r="J101" s="20" t="s">
        <v>89</v>
      </c>
      <c r="K101" s="30" t="s">
        <v>396</v>
      </c>
      <c r="L101" s="40"/>
      <c r="M101" s="161" t="s">
        <v>110</v>
      </c>
      <c r="N101" s="40" t="s">
        <v>799</v>
      </c>
    </row>
    <row r="102" spans="2:14" ht="60" x14ac:dyDescent="0.25">
      <c r="B102" s="20">
        <v>1</v>
      </c>
      <c r="C102" s="98">
        <v>45848</v>
      </c>
      <c r="D102" s="14" t="s">
        <v>360</v>
      </c>
      <c r="E102" s="20" t="s">
        <v>463</v>
      </c>
      <c r="F102" s="20" t="s">
        <v>100</v>
      </c>
      <c r="G102" s="30" t="s">
        <v>368</v>
      </c>
      <c r="H102" s="20" t="s">
        <v>87</v>
      </c>
      <c r="I102" s="20" t="s">
        <v>88</v>
      </c>
      <c r="J102" s="20" t="s">
        <v>89</v>
      </c>
      <c r="K102" s="30" t="s">
        <v>396</v>
      </c>
      <c r="L102" s="40"/>
      <c r="M102" s="161" t="s">
        <v>110</v>
      </c>
      <c r="N102" s="40" t="s">
        <v>799</v>
      </c>
    </row>
    <row r="103" spans="2:14" ht="60" x14ac:dyDescent="0.25">
      <c r="B103" s="20">
        <v>1</v>
      </c>
      <c r="C103" s="98">
        <v>45848</v>
      </c>
      <c r="D103" s="14" t="s">
        <v>360</v>
      </c>
      <c r="E103" s="20" t="s">
        <v>464</v>
      </c>
      <c r="F103" s="20" t="s">
        <v>100</v>
      </c>
      <c r="G103" s="69" t="s">
        <v>369</v>
      </c>
      <c r="H103" s="20" t="s">
        <v>87</v>
      </c>
      <c r="I103" s="20" t="s">
        <v>88</v>
      </c>
      <c r="J103" s="20" t="s">
        <v>89</v>
      </c>
      <c r="K103" s="30" t="s">
        <v>396</v>
      </c>
      <c r="L103" s="40"/>
      <c r="M103" s="161" t="s">
        <v>110</v>
      </c>
      <c r="N103" s="40" t="s">
        <v>799</v>
      </c>
    </row>
    <row r="104" spans="2:14" ht="60" x14ac:dyDescent="0.25">
      <c r="B104" s="20">
        <v>1</v>
      </c>
      <c r="C104" s="98">
        <v>45848</v>
      </c>
      <c r="D104" s="14" t="s">
        <v>360</v>
      </c>
      <c r="E104" s="20" t="s">
        <v>466</v>
      </c>
      <c r="F104" s="20" t="s">
        <v>100</v>
      </c>
      <c r="G104" s="30" t="s">
        <v>370</v>
      </c>
      <c r="H104" s="20" t="s">
        <v>87</v>
      </c>
      <c r="I104" s="20" t="s">
        <v>88</v>
      </c>
      <c r="J104" s="20" t="s">
        <v>89</v>
      </c>
      <c r="K104" s="30" t="s">
        <v>396</v>
      </c>
      <c r="L104" s="40"/>
      <c r="M104" s="161" t="s">
        <v>110</v>
      </c>
      <c r="N104" s="40" t="s">
        <v>799</v>
      </c>
    </row>
    <row r="105" spans="2:14" ht="60" x14ac:dyDescent="0.25">
      <c r="B105" s="20">
        <v>1</v>
      </c>
      <c r="C105" s="98">
        <v>45848</v>
      </c>
      <c r="D105" s="14" t="s">
        <v>360</v>
      </c>
      <c r="E105" s="20" t="s">
        <v>498</v>
      </c>
      <c r="F105" s="20" t="s">
        <v>100</v>
      </c>
      <c r="G105" s="30" t="s">
        <v>371</v>
      </c>
      <c r="H105" s="20" t="s">
        <v>87</v>
      </c>
      <c r="I105" s="20" t="s">
        <v>88</v>
      </c>
      <c r="J105" s="20" t="s">
        <v>89</v>
      </c>
      <c r="K105" s="30" t="s">
        <v>176</v>
      </c>
      <c r="L105" s="40"/>
      <c r="M105" s="161" t="s">
        <v>110</v>
      </c>
      <c r="N105" s="40" t="s">
        <v>610</v>
      </c>
    </row>
    <row r="106" spans="2:14" ht="63" x14ac:dyDescent="0.25">
      <c r="B106" s="20">
        <v>1</v>
      </c>
      <c r="C106" s="98">
        <v>45848</v>
      </c>
      <c r="D106" s="14" t="s">
        <v>360</v>
      </c>
      <c r="E106" s="20" t="s">
        <v>499</v>
      </c>
      <c r="F106" s="20" t="s">
        <v>100</v>
      </c>
      <c r="G106" s="30" t="s">
        <v>376</v>
      </c>
      <c r="H106" s="20" t="s">
        <v>87</v>
      </c>
      <c r="I106" s="20" t="s">
        <v>88</v>
      </c>
      <c r="J106" s="20" t="s">
        <v>89</v>
      </c>
      <c r="K106" s="30" t="s">
        <v>176</v>
      </c>
      <c r="L106" s="40"/>
      <c r="M106" s="161" t="s">
        <v>110</v>
      </c>
      <c r="N106" s="40" t="s">
        <v>610</v>
      </c>
    </row>
    <row r="107" spans="2:14" ht="60" x14ac:dyDescent="0.25">
      <c r="B107" s="20">
        <v>1</v>
      </c>
      <c r="C107" s="98">
        <v>45848</v>
      </c>
      <c r="D107" s="14" t="s">
        <v>360</v>
      </c>
      <c r="E107" s="20" t="s">
        <v>500</v>
      </c>
      <c r="F107" s="20" t="s">
        <v>100</v>
      </c>
      <c r="G107" s="139" t="s">
        <v>372</v>
      </c>
      <c r="H107" s="20" t="s">
        <v>87</v>
      </c>
      <c r="I107" s="20" t="s">
        <v>88</v>
      </c>
      <c r="J107" s="20" t="s">
        <v>89</v>
      </c>
      <c r="K107" s="30" t="s">
        <v>176</v>
      </c>
      <c r="L107" s="40"/>
      <c r="M107" s="161" t="s">
        <v>110</v>
      </c>
      <c r="N107" s="40" t="s">
        <v>610</v>
      </c>
    </row>
    <row r="108" spans="2:14" ht="60" x14ac:dyDescent="0.25">
      <c r="B108" s="20">
        <v>1</v>
      </c>
      <c r="C108" s="98">
        <v>45848</v>
      </c>
      <c r="D108" s="14" t="s">
        <v>360</v>
      </c>
      <c r="E108" s="20" t="s">
        <v>501</v>
      </c>
      <c r="F108" s="20" t="s">
        <v>100</v>
      </c>
      <c r="G108" s="139" t="s">
        <v>373</v>
      </c>
      <c r="H108" s="20" t="s">
        <v>87</v>
      </c>
      <c r="I108" s="20" t="s">
        <v>88</v>
      </c>
      <c r="J108" s="20" t="s">
        <v>89</v>
      </c>
      <c r="K108" s="30" t="s">
        <v>176</v>
      </c>
      <c r="L108" s="40"/>
      <c r="M108" s="161" t="s">
        <v>110</v>
      </c>
      <c r="N108" s="40" t="s">
        <v>570</v>
      </c>
    </row>
    <row r="109" spans="2:14" ht="60" x14ac:dyDescent="0.25">
      <c r="B109" s="20">
        <v>1</v>
      </c>
      <c r="C109" s="98">
        <v>45848</v>
      </c>
      <c r="D109" s="14" t="s">
        <v>360</v>
      </c>
      <c r="E109" s="20" t="s">
        <v>502</v>
      </c>
      <c r="F109" s="20" t="s">
        <v>100</v>
      </c>
      <c r="G109" s="140" t="s">
        <v>374</v>
      </c>
      <c r="H109" s="20" t="s">
        <v>87</v>
      </c>
      <c r="I109" s="20" t="s">
        <v>88</v>
      </c>
      <c r="J109" s="20" t="s">
        <v>89</v>
      </c>
      <c r="K109" s="30" t="s">
        <v>176</v>
      </c>
      <c r="L109" s="40"/>
      <c r="M109" s="127" t="s">
        <v>91</v>
      </c>
      <c r="N109" s="40"/>
    </row>
    <row r="110" spans="2:14" ht="60" x14ac:dyDescent="0.25">
      <c r="B110" s="20">
        <v>1</v>
      </c>
      <c r="C110" s="98">
        <v>45848</v>
      </c>
      <c r="D110" s="14" t="s">
        <v>360</v>
      </c>
      <c r="E110" s="20" t="s">
        <v>503</v>
      </c>
      <c r="F110" s="20" t="s">
        <v>100</v>
      </c>
      <c r="G110" s="79" t="s">
        <v>377</v>
      </c>
      <c r="H110" s="20" t="s">
        <v>87</v>
      </c>
      <c r="I110" s="20" t="s">
        <v>88</v>
      </c>
      <c r="J110" s="20" t="s">
        <v>89</v>
      </c>
      <c r="K110" s="30" t="s">
        <v>394</v>
      </c>
      <c r="L110" s="40"/>
      <c r="M110" s="127" t="s">
        <v>91</v>
      </c>
      <c r="N110" s="40"/>
    </row>
    <row r="111" spans="2:14" ht="60" x14ac:dyDescent="0.25">
      <c r="B111" s="20">
        <v>1</v>
      </c>
      <c r="C111" s="98">
        <v>45848</v>
      </c>
      <c r="D111" s="14" t="s">
        <v>360</v>
      </c>
      <c r="E111" s="20" t="s">
        <v>504</v>
      </c>
      <c r="F111" s="20" t="s">
        <v>100</v>
      </c>
      <c r="G111" s="69" t="s">
        <v>380</v>
      </c>
      <c r="H111" s="20" t="s">
        <v>87</v>
      </c>
      <c r="I111" s="20" t="s">
        <v>88</v>
      </c>
      <c r="J111" s="20" t="s">
        <v>89</v>
      </c>
      <c r="K111" s="69" t="s">
        <v>275</v>
      </c>
      <c r="L111" s="40"/>
      <c r="M111" s="132" t="s">
        <v>111</v>
      </c>
      <c r="N111" s="40" t="s">
        <v>818</v>
      </c>
    </row>
    <row r="112" spans="2:14" ht="60" x14ac:dyDescent="0.25">
      <c r="B112" s="20">
        <v>1</v>
      </c>
      <c r="C112" s="98">
        <v>45848</v>
      </c>
      <c r="D112" s="14" t="s">
        <v>360</v>
      </c>
      <c r="E112" s="20" t="s">
        <v>505</v>
      </c>
      <c r="F112" s="20" t="s">
        <v>100</v>
      </c>
      <c r="G112" s="77" t="s">
        <v>381</v>
      </c>
      <c r="H112" s="20" t="s">
        <v>87</v>
      </c>
      <c r="I112" s="20" t="s">
        <v>88</v>
      </c>
      <c r="J112" s="20" t="s">
        <v>89</v>
      </c>
      <c r="K112" s="30" t="s">
        <v>176</v>
      </c>
      <c r="L112" s="40"/>
      <c r="M112" s="132" t="s">
        <v>111</v>
      </c>
      <c r="N112" s="40" t="s">
        <v>830</v>
      </c>
    </row>
    <row r="113" spans="2:14" ht="60" x14ac:dyDescent="0.25">
      <c r="B113" s="20">
        <v>1</v>
      </c>
      <c r="C113" s="98">
        <v>45848</v>
      </c>
      <c r="D113" s="14" t="s">
        <v>360</v>
      </c>
      <c r="E113" s="20" t="s">
        <v>506</v>
      </c>
      <c r="F113" s="20" t="s">
        <v>100</v>
      </c>
      <c r="G113" s="142" t="s">
        <v>378</v>
      </c>
      <c r="H113" s="20" t="s">
        <v>87</v>
      </c>
      <c r="I113" s="20" t="s">
        <v>88</v>
      </c>
      <c r="J113" s="20" t="s">
        <v>89</v>
      </c>
      <c r="K113" s="30" t="s">
        <v>179</v>
      </c>
      <c r="L113" s="40"/>
      <c r="M113" s="132" t="s">
        <v>111</v>
      </c>
      <c r="N113" s="40" t="s">
        <v>818</v>
      </c>
    </row>
    <row r="114" spans="2:14" ht="60" x14ac:dyDescent="0.25">
      <c r="B114" s="20">
        <v>1</v>
      </c>
      <c r="C114" s="98">
        <v>45848</v>
      </c>
      <c r="D114" s="14" t="s">
        <v>360</v>
      </c>
      <c r="E114" s="20" t="s">
        <v>507</v>
      </c>
      <c r="F114" s="20" t="s">
        <v>100</v>
      </c>
      <c r="G114" s="30" t="s">
        <v>386</v>
      </c>
      <c r="H114" s="20" t="s">
        <v>87</v>
      </c>
      <c r="I114" s="20" t="s">
        <v>88</v>
      </c>
      <c r="J114" s="20" t="s">
        <v>89</v>
      </c>
      <c r="K114" s="30" t="s">
        <v>176</v>
      </c>
      <c r="L114" s="40"/>
      <c r="M114" s="127" t="s">
        <v>91</v>
      </c>
      <c r="N114" s="40"/>
    </row>
    <row r="115" spans="2:14" ht="63" x14ac:dyDescent="0.25">
      <c r="B115" s="20">
        <v>1</v>
      </c>
      <c r="C115" s="98">
        <v>45848</v>
      </c>
      <c r="D115" s="14" t="s">
        <v>360</v>
      </c>
      <c r="E115" s="20" t="s">
        <v>508</v>
      </c>
      <c r="F115" s="20" t="s">
        <v>100</v>
      </c>
      <c r="G115" s="80" t="s">
        <v>382</v>
      </c>
      <c r="H115" s="20" t="s">
        <v>87</v>
      </c>
      <c r="I115" s="20" t="s">
        <v>88</v>
      </c>
      <c r="J115" s="20" t="s">
        <v>89</v>
      </c>
      <c r="K115" s="30" t="s">
        <v>394</v>
      </c>
      <c r="L115" s="40"/>
      <c r="M115" s="127" t="s">
        <v>91</v>
      </c>
      <c r="N115" s="40"/>
    </row>
    <row r="116" spans="2:14" ht="60" x14ac:dyDescent="0.25">
      <c r="B116" s="20">
        <v>1</v>
      </c>
      <c r="C116" s="98">
        <v>45848</v>
      </c>
      <c r="D116" s="14" t="s">
        <v>360</v>
      </c>
      <c r="E116" s="20" t="s">
        <v>509</v>
      </c>
      <c r="F116" s="20" t="s">
        <v>100</v>
      </c>
      <c r="G116" s="30" t="s">
        <v>620</v>
      </c>
      <c r="H116" s="20" t="s">
        <v>87</v>
      </c>
      <c r="I116" s="20" t="s">
        <v>88</v>
      </c>
      <c r="J116" s="20" t="s">
        <v>89</v>
      </c>
      <c r="K116" s="30" t="s">
        <v>284</v>
      </c>
      <c r="L116" s="40"/>
      <c r="M116" s="132" t="s">
        <v>111</v>
      </c>
      <c r="N116" s="40"/>
    </row>
    <row r="117" spans="2:14" ht="60" x14ac:dyDescent="0.25">
      <c r="B117" s="20">
        <v>1</v>
      </c>
      <c r="C117" s="98">
        <v>45848</v>
      </c>
      <c r="D117" s="14" t="s">
        <v>360</v>
      </c>
      <c r="E117" s="20" t="s">
        <v>510</v>
      </c>
      <c r="F117" s="20" t="s">
        <v>100</v>
      </c>
      <c r="G117" s="30" t="s">
        <v>385</v>
      </c>
      <c r="H117" s="20" t="s">
        <v>87</v>
      </c>
      <c r="I117" s="20" t="s">
        <v>88</v>
      </c>
      <c r="J117" s="20" t="s">
        <v>89</v>
      </c>
      <c r="K117" s="30" t="s">
        <v>176</v>
      </c>
      <c r="L117" s="40"/>
      <c r="M117" s="132" t="s">
        <v>111</v>
      </c>
      <c r="N117" s="40"/>
    </row>
    <row r="118" spans="2:14" ht="60" x14ac:dyDescent="0.25">
      <c r="B118" s="20">
        <v>1</v>
      </c>
      <c r="C118" s="98">
        <v>45848</v>
      </c>
      <c r="D118" s="14" t="s">
        <v>360</v>
      </c>
      <c r="E118" s="20" t="s">
        <v>511</v>
      </c>
      <c r="F118" s="20" t="s">
        <v>100</v>
      </c>
      <c r="G118" s="30" t="s">
        <v>384</v>
      </c>
      <c r="H118" s="20" t="s">
        <v>87</v>
      </c>
      <c r="I118" s="20" t="s">
        <v>88</v>
      </c>
      <c r="J118" s="20" t="s">
        <v>89</v>
      </c>
      <c r="K118" s="30" t="s">
        <v>202</v>
      </c>
      <c r="L118" s="40"/>
      <c r="M118" s="132" t="s">
        <v>111</v>
      </c>
      <c r="N118" s="106" t="s">
        <v>810</v>
      </c>
    </row>
    <row r="119" spans="2:14" ht="60" x14ac:dyDescent="0.25">
      <c r="B119" s="20">
        <v>1</v>
      </c>
      <c r="C119" s="98">
        <v>45848</v>
      </c>
      <c r="D119" s="14" t="s">
        <v>360</v>
      </c>
      <c r="E119" s="20" t="s">
        <v>512</v>
      </c>
      <c r="F119" s="20" t="s">
        <v>100</v>
      </c>
      <c r="G119" s="79" t="s">
        <v>375</v>
      </c>
      <c r="H119" s="20" t="s">
        <v>87</v>
      </c>
      <c r="I119" s="20" t="s">
        <v>88</v>
      </c>
      <c r="J119" s="20" t="s">
        <v>89</v>
      </c>
      <c r="K119" s="30" t="s">
        <v>176</v>
      </c>
      <c r="L119" s="40"/>
      <c r="M119" s="132" t="s">
        <v>111</v>
      </c>
      <c r="N119" s="40" t="s">
        <v>830</v>
      </c>
    </row>
    <row r="120" spans="2:14" ht="60" x14ac:dyDescent="0.25">
      <c r="B120" s="20">
        <v>1</v>
      </c>
      <c r="C120" s="98">
        <v>45848</v>
      </c>
      <c r="D120" s="14" t="s">
        <v>360</v>
      </c>
      <c r="E120" s="20" t="s">
        <v>513</v>
      </c>
      <c r="F120" s="20" t="s">
        <v>100</v>
      </c>
      <c r="G120" s="79" t="s">
        <v>621</v>
      </c>
      <c r="H120" s="20" t="s">
        <v>87</v>
      </c>
      <c r="I120" s="20" t="s">
        <v>88</v>
      </c>
      <c r="J120" s="20" t="s">
        <v>89</v>
      </c>
      <c r="K120" s="30" t="s">
        <v>202</v>
      </c>
      <c r="L120" s="40"/>
      <c r="M120" s="114" t="s">
        <v>111</v>
      </c>
      <c r="N120" s="14" t="s">
        <v>810</v>
      </c>
    </row>
    <row r="121" spans="2:14" ht="60" x14ac:dyDescent="0.25">
      <c r="B121" s="20">
        <v>1</v>
      </c>
      <c r="C121" s="98">
        <v>45855</v>
      </c>
      <c r="D121" s="157" t="s">
        <v>553</v>
      </c>
      <c r="E121" s="20" t="s">
        <v>514</v>
      </c>
      <c r="F121" s="20" t="s">
        <v>100</v>
      </c>
      <c r="G121" s="82" t="s">
        <v>554</v>
      </c>
      <c r="H121" s="20" t="s">
        <v>87</v>
      </c>
      <c r="I121" s="20" t="s">
        <v>88</v>
      </c>
      <c r="J121" s="20" t="s">
        <v>89</v>
      </c>
      <c r="K121" s="30" t="s">
        <v>526</v>
      </c>
      <c r="L121" s="40"/>
      <c r="M121" s="114" t="s">
        <v>111</v>
      </c>
      <c r="N121" s="14" t="s">
        <v>819</v>
      </c>
    </row>
    <row r="122" spans="2:14" ht="45" x14ac:dyDescent="0.25">
      <c r="B122" s="20">
        <v>118</v>
      </c>
      <c r="C122" s="98">
        <v>45856</v>
      </c>
      <c r="D122" s="19" t="s">
        <v>83</v>
      </c>
      <c r="E122" s="20" t="s">
        <v>514</v>
      </c>
      <c r="F122" s="20" t="s">
        <v>138</v>
      </c>
      <c r="G122" s="82" t="s">
        <v>399</v>
      </c>
      <c r="H122" s="20" t="s">
        <v>87</v>
      </c>
      <c r="I122" s="20" t="s">
        <v>88</v>
      </c>
      <c r="J122" s="20" t="s">
        <v>89</v>
      </c>
      <c r="K122" s="30" t="s">
        <v>284</v>
      </c>
      <c r="L122" s="40"/>
      <c r="M122" s="132" t="s">
        <v>111</v>
      </c>
      <c r="N122" s="40"/>
    </row>
    <row r="123" spans="2:14" ht="60" x14ac:dyDescent="0.25">
      <c r="B123" s="20">
        <v>119</v>
      </c>
      <c r="C123" s="98">
        <v>45861</v>
      </c>
      <c r="D123" s="19" t="s">
        <v>83</v>
      </c>
      <c r="E123" s="20" t="s">
        <v>515</v>
      </c>
      <c r="F123" s="20" t="s">
        <v>138</v>
      </c>
      <c r="G123" s="82" t="s">
        <v>622</v>
      </c>
      <c r="H123" s="20" t="s">
        <v>87</v>
      </c>
      <c r="I123" s="20" t="s">
        <v>88</v>
      </c>
      <c r="J123" s="20" t="s">
        <v>89</v>
      </c>
      <c r="K123" s="29" t="s">
        <v>129</v>
      </c>
      <c r="L123" s="40"/>
      <c r="M123" s="132" t="s">
        <v>111</v>
      </c>
      <c r="N123" s="40"/>
    </row>
    <row r="124" spans="2:14" ht="60" x14ac:dyDescent="0.25">
      <c r="B124" s="20">
        <v>1</v>
      </c>
      <c r="C124" s="98">
        <v>45862</v>
      </c>
      <c r="D124" s="19" t="s">
        <v>633</v>
      </c>
      <c r="E124" s="20" t="s">
        <v>582</v>
      </c>
      <c r="F124" s="20" t="s">
        <v>100</v>
      </c>
      <c r="G124" s="82" t="s">
        <v>632</v>
      </c>
      <c r="H124" s="20" t="s">
        <v>87</v>
      </c>
      <c r="I124" s="20" t="s">
        <v>88</v>
      </c>
      <c r="J124" s="20" t="s">
        <v>89</v>
      </c>
      <c r="K124" s="29" t="s">
        <v>129</v>
      </c>
      <c r="L124" s="40" t="s">
        <v>642</v>
      </c>
      <c r="M124" s="158" t="s">
        <v>388</v>
      </c>
      <c r="N124" s="40"/>
    </row>
    <row r="125" spans="2:14" ht="60" x14ac:dyDescent="0.25">
      <c r="B125" s="20">
        <v>1</v>
      </c>
      <c r="C125" s="98">
        <v>45862</v>
      </c>
      <c r="D125" s="19" t="s">
        <v>633</v>
      </c>
      <c r="E125" s="20" t="s">
        <v>640</v>
      </c>
      <c r="F125" s="20" t="s">
        <v>100</v>
      </c>
      <c r="G125" s="32" t="s">
        <v>634</v>
      </c>
      <c r="H125" s="20" t="s">
        <v>87</v>
      </c>
      <c r="I125" s="20" t="s">
        <v>88</v>
      </c>
      <c r="J125" s="20" t="s">
        <v>89</v>
      </c>
      <c r="K125" s="29" t="s">
        <v>129</v>
      </c>
      <c r="L125" s="40"/>
      <c r="M125" s="132" t="s">
        <v>111</v>
      </c>
      <c r="N125" s="14" t="s">
        <v>820</v>
      </c>
    </row>
    <row r="126" spans="2:14" ht="63" x14ac:dyDescent="0.25">
      <c r="B126" s="20">
        <v>1</v>
      </c>
      <c r="C126" s="98">
        <v>45862</v>
      </c>
      <c r="D126" s="19" t="s">
        <v>633</v>
      </c>
      <c r="E126" s="20" t="s">
        <v>641</v>
      </c>
      <c r="F126" s="20" t="s">
        <v>100</v>
      </c>
      <c r="G126" s="32" t="s">
        <v>635</v>
      </c>
      <c r="H126" s="20" t="s">
        <v>87</v>
      </c>
      <c r="I126" s="20" t="s">
        <v>88</v>
      </c>
      <c r="J126" s="20" t="s">
        <v>89</v>
      </c>
      <c r="K126" s="29" t="s">
        <v>129</v>
      </c>
      <c r="L126" s="40" t="s">
        <v>642</v>
      </c>
      <c r="M126" s="158" t="s">
        <v>388</v>
      </c>
      <c r="N126" s="40"/>
    </row>
    <row r="127" spans="2:14" ht="60" x14ac:dyDescent="0.25">
      <c r="B127" s="20">
        <v>1</v>
      </c>
      <c r="C127" s="98">
        <v>45862</v>
      </c>
      <c r="D127" s="19" t="s">
        <v>633</v>
      </c>
      <c r="E127" s="20" t="s">
        <v>643</v>
      </c>
      <c r="F127" s="20" t="s">
        <v>100</v>
      </c>
      <c r="G127" s="79" t="s">
        <v>636</v>
      </c>
      <c r="H127" s="20" t="s">
        <v>87</v>
      </c>
      <c r="I127" s="20" t="s">
        <v>88</v>
      </c>
      <c r="J127" s="20" t="s">
        <v>89</v>
      </c>
      <c r="K127" s="29" t="s">
        <v>129</v>
      </c>
      <c r="L127" s="40"/>
      <c r="M127" s="132" t="s">
        <v>111</v>
      </c>
      <c r="N127" s="40" t="s">
        <v>801</v>
      </c>
    </row>
    <row r="128" spans="2:14" ht="78.75" x14ac:dyDescent="0.25">
      <c r="B128" s="20">
        <v>1</v>
      </c>
      <c r="C128" s="98">
        <v>45862</v>
      </c>
      <c r="D128" s="19" t="s">
        <v>633</v>
      </c>
      <c r="E128" s="20" t="s">
        <v>644</v>
      </c>
      <c r="F128" s="20" t="s">
        <v>100</v>
      </c>
      <c r="G128" s="32" t="s">
        <v>637</v>
      </c>
      <c r="H128" s="20" t="s">
        <v>99</v>
      </c>
      <c r="I128" s="20" t="s">
        <v>88</v>
      </c>
      <c r="J128" s="20" t="s">
        <v>89</v>
      </c>
      <c r="K128" s="29" t="s">
        <v>129</v>
      </c>
      <c r="L128" s="40"/>
      <c r="M128" s="158" t="s">
        <v>388</v>
      </c>
      <c r="N128" s="40"/>
    </row>
    <row r="129" spans="2:14" ht="60" x14ac:dyDescent="0.25">
      <c r="B129" s="20">
        <v>1</v>
      </c>
      <c r="C129" s="98">
        <v>45862</v>
      </c>
      <c r="D129" s="19" t="s">
        <v>633</v>
      </c>
      <c r="E129" s="20" t="s">
        <v>645</v>
      </c>
      <c r="F129" s="20" t="s">
        <v>100</v>
      </c>
      <c r="G129" s="82" t="s">
        <v>638</v>
      </c>
      <c r="H129" s="20" t="s">
        <v>87</v>
      </c>
      <c r="I129" s="20" t="s">
        <v>88</v>
      </c>
      <c r="J129" s="20" t="s">
        <v>89</v>
      </c>
      <c r="K129" s="29" t="s">
        <v>129</v>
      </c>
      <c r="L129" s="40"/>
      <c r="M129" s="132" t="s">
        <v>111</v>
      </c>
      <c r="N129" s="40"/>
    </row>
    <row r="130" spans="2:14" ht="60" x14ac:dyDescent="0.25">
      <c r="B130" s="20">
        <v>1</v>
      </c>
      <c r="C130" s="98">
        <v>45862</v>
      </c>
      <c r="D130" s="19" t="s">
        <v>633</v>
      </c>
      <c r="E130" s="20" t="s">
        <v>646</v>
      </c>
      <c r="F130" s="20" t="s">
        <v>100</v>
      </c>
      <c r="G130" s="156" t="s">
        <v>639</v>
      </c>
      <c r="H130" s="20" t="s">
        <v>87</v>
      </c>
      <c r="I130" s="20" t="s">
        <v>88</v>
      </c>
      <c r="J130" s="20" t="s">
        <v>89</v>
      </c>
      <c r="K130" s="29" t="s">
        <v>129</v>
      </c>
      <c r="L130" s="40"/>
      <c r="M130" s="132" t="s">
        <v>111</v>
      </c>
      <c r="N130" s="40"/>
    </row>
    <row r="131" spans="2:14" ht="60" x14ac:dyDescent="0.25">
      <c r="B131" s="20">
        <v>1</v>
      </c>
      <c r="C131" s="98">
        <v>45863</v>
      </c>
      <c r="D131" s="39" t="s">
        <v>735</v>
      </c>
      <c r="E131" s="20" t="s">
        <v>647</v>
      </c>
      <c r="F131" s="20" t="s">
        <v>100</v>
      </c>
      <c r="G131" s="150" t="s">
        <v>736</v>
      </c>
      <c r="H131" s="20" t="s">
        <v>87</v>
      </c>
      <c r="I131" s="20" t="s">
        <v>88</v>
      </c>
      <c r="J131" s="20" t="s">
        <v>89</v>
      </c>
      <c r="K131" s="69" t="s">
        <v>750</v>
      </c>
      <c r="L131" s="40"/>
      <c r="M131" s="132" t="s">
        <v>111</v>
      </c>
      <c r="N131" s="14" t="s">
        <v>751</v>
      </c>
    </row>
    <row r="132" spans="2:14" ht="60" x14ac:dyDescent="0.25">
      <c r="B132" s="20">
        <v>1</v>
      </c>
      <c r="C132" s="98">
        <v>45863</v>
      </c>
      <c r="D132" s="39" t="s">
        <v>735</v>
      </c>
      <c r="E132" s="20" t="s">
        <v>662</v>
      </c>
      <c r="F132" s="20" t="s">
        <v>100</v>
      </c>
      <c r="G132" s="150" t="s">
        <v>737</v>
      </c>
      <c r="H132" s="20" t="s">
        <v>87</v>
      </c>
      <c r="I132" s="20" t="s">
        <v>88</v>
      </c>
      <c r="J132" s="20" t="s">
        <v>89</v>
      </c>
      <c r="K132" s="69" t="s">
        <v>750</v>
      </c>
      <c r="L132" s="40"/>
      <c r="M132" s="132" t="s">
        <v>111</v>
      </c>
      <c r="N132" s="14" t="s">
        <v>751</v>
      </c>
    </row>
    <row r="133" spans="2:14" ht="60" x14ac:dyDescent="0.25">
      <c r="B133" s="20">
        <v>1</v>
      </c>
      <c r="C133" s="98">
        <v>45863</v>
      </c>
      <c r="D133" s="39" t="s">
        <v>735</v>
      </c>
      <c r="E133" s="20" t="s">
        <v>663</v>
      </c>
      <c r="F133" s="20" t="s">
        <v>100</v>
      </c>
      <c r="G133" s="150" t="s">
        <v>738</v>
      </c>
      <c r="H133" s="20" t="s">
        <v>87</v>
      </c>
      <c r="I133" s="20" t="s">
        <v>88</v>
      </c>
      <c r="J133" s="20" t="s">
        <v>89</v>
      </c>
      <c r="K133" s="69" t="s">
        <v>750</v>
      </c>
      <c r="L133" s="40"/>
      <c r="M133" s="132" t="s">
        <v>111</v>
      </c>
      <c r="N133" s="14" t="s">
        <v>751</v>
      </c>
    </row>
    <row r="134" spans="2:14" ht="60" x14ac:dyDescent="0.25">
      <c r="B134" s="20">
        <v>1</v>
      </c>
      <c r="C134" s="98">
        <v>45863</v>
      </c>
      <c r="D134" s="39" t="s">
        <v>735</v>
      </c>
      <c r="E134" s="20" t="s">
        <v>673</v>
      </c>
      <c r="F134" s="20" t="s">
        <v>100</v>
      </c>
      <c r="G134" s="150" t="s">
        <v>739</v>
      </c>
      <c r="H134" s="20" t="s">
        <v>87</v>
      </c>
      <c r="I134" s="20" t="s">
        <v>88</v>
      </c>
      <c r="J134" s="20" t="s">
        <v>89</v>
      </c>
      <c r="K134" s="69" t="s">
        <v>750</v>
      </c>
      <c r="L134" s="40"/>
      <c r="M134" s="132" t="s">
        <v>111</v>
      </c>
      <c r="N134" s="14" t="s">
        <v>751</v>
      </c>
    </row>
    <row r="135" spans="2:14" ht="60" x14ac:dyDescent="0.25">
      <c r="B135" s="20">
        <v>1</v>
      </c>
      <c r="C135" s="98">
        <v>45863</v>
      </c>
      <c r="D135" s="39" t="s">
        <v>735</v>
      </c>
      <c r="E135" s="20" t="s">
        <v>674</v>
      </c>
      <c r="F135" s="20" t="s">
        <v>100</v>
      </c>
      <c r="G135" s="150" t="s">
        <v>740</v>
      </c>
      <c r="H135" s="20" t="s">
        <v>87</v>
      </c>
      <c r="I135" s="20" t="s">
        <v>88</v>
      </c>
      <c r="J135" s="20" t="s">
        <v>89</v>
      </c>
      <c r="K135" s="69" t="s">
        <v>750</v>
      </c>
      <c r="L135" s="40"/>
      <c r="M135" s="132" t="s">
        <v>111</v>
      </c>
      <c r="N135" s="14" t="s">
        <v>751</v>
      </c>
    </row>
    <row r="136" spans="2:14" ht="60" x14ac:dyDescent="0.25">
      <c r="B136" s="20">
        <v>1</v>
      </c>
      <c r="C136" s="98">
        <v>45863</v>
      </c>
      <c r="D136" s="39" t="s">
        <v>735</v>
      </c>
      <c r="E136" s="20" t="s">
        <v>682</v>
      </c>
      <c r="F136" s="20" t="s">
        <v>100</v>
      </c>
      <c r="G136" s="150" t="s">
        <v>741</v>
      </c>
      <c r="H136" s="20" t="s">
        <v>87</v>
      </c>
      <c r="I136" s="20" t="s">
        <v>88</v>
      </c>
      <c r="J136" s="20" t="s">
        <v>89</v>
      </c>
      <c r="K136" s="69" t="s">
        <v>750</v>
      </c>
      <c r="L136" s="40"/>
      <c r="M136" s="132" t="s">
        <v>111</v>
      </c>
      <c r="N136" s="14" t="s">
        <v>751</v>
      </c>
    </row>
    <row r="137" spans="2:14" ht="60" x14ac:dyDescent="0.25">
      <c r="B137" s="20">
        <v>1</v>
      </c>
      <c r="C137" s="98">
        <v>45863</v>
      </c>
      <c r="D137" s="39" t="s">
        <v>735</v>
      </c>
      <c r="E137" s="20" t="s">
        <v>683</v>
      </c>
      <c r="F137" s="20" t="s">
        <v>100</v>
      </c>
      <c r="G137" s="150" t="s">
        <v>742</v>
      </c>
      <c r="H137" s="20" t="s">
        <v>87</v>
      </c>
      <c r="I137" s="20" t="s">
        <v>88</v>
      </c>
      <c r="J137" s="20" t="s">
        <v>89</v>
      </c>
      <c r="K137" s="69" t="s">
        <v>750</v>
      </c>
      <c r="L137" s="40"/>
      <c r="M137" s="132" t="s">
        <v>111</v>
      </c>
      <c r="N137" s="14" t="s">
        <v>751</v>
      </c>
    </row>
    <row r="138" spans="2:14" ht="60" x14ac:dyDescent="0.25">
      <c r="B138" s="20">
        <v>1</v>
      </c>
      <c r="C138" s="98">
        <v>45863</v>
      </c>
      <c r="D138" s="39" t="s">
        <v>735</v>
      </c>
      <c r="E138" s="20" t="s">
        <v>686</v>
      </c>
      <c r="F138" s="20" t="s">
        <v>100</v>
      </c>
      <c r="G138" s="150" t="s">
        <v>743</v>
      </c>
      <c r="H138" s="20" t="s">
        <v>87</v>
      </c>
      <c r="I138" s="20" t="s">
        <v>88</v>
      </c>
      <c r="J138" s="20" t="s">
        <v>89</v>
      </c>
      <c r="K138" s="69" t="s">
        <v>750</v>
      </c>
      <c r="L138" s="40"/>
      <c r="M138" s="132" t="s">
        <v>111</v>
      </c>
      <c r="N138" s="14" t="s">
        <v>751</v>
      </c>
    </row>
    <row r="139" spans="2:14" ht="60" x14ac:dyDescent="0.25">
      <c r="B139" s="20">
        <v>1</v>
      </c>
      <c r="C139" s="98">
        <v>45863</v>
      </c>
      <c r="D139" s="39" t="s">
        <v>735</v>
      </c>
      <c r="E139" s="20" t="s">
        <v>698</v>
      </c>
      <c r="F139" s="20" t="s">
        <v>100</v>
      </c>
      <c r="G139" s="150" t="s">
        <v>744</v>
      </c>
      <c r="H139" s="20" t="s">
        <v>87</v>
      </c>
      <c r="I139" s="20" t="s">
        <v>88</v>
      </c>
      <c r="J139" s="20" t="s">
        <v>89</v>
      </c>
      <c r="K139" s="69" t="s">
        <v>750</v>
      </c>
      <c r="L139" s="40"/>
      <c r="M139" s="132" t="s">
        <v>111</v>
      </c>
      <c r="N139" s="14" t="s">
        <v>751</v>
      </c>
    </row>
    <row r="140" spans="2:14" ht="60" x14ac:dyDescent="0.25">
      <c r="B140" s="20">
        <v>1</v>
      </c>
      <c r="C140" s="98">
        <v>45863</v>
      </c>
      <c r="D140" s="39" t="s">
        <v>735</v>
      </c>
      <c r="E140" s="20" t="s">
        <v>704</v>
      </c>
      <c r="F140" s="20" t="s">
        <v>100</v>
      </c>
      <c r="G140" s="150" t="s">
        <v>745</v>
      </c>
      <c r="H140" s="20" t="s">
        <v>87</v>
      </c>
      <c r="I140" s="20" t="s">
        <v>88</v>
      </c>
      <c r="J140" s="20" t="s">
        <v>89</v>
      </c>
      <c r="K140" s="69" t="s">
        <v>750</v>
      </c>
      <c r="L140" s="40"/>
      <c r="M140" s="132" t="s">
        <v>111</v>
      </c>
      <c r="N140" s="14" t="s">
        <v>751</v>
      </c>
    </row>
    <row r="141" spans="2:14" ht="135" x14ac:dyDescent="0.25">
      <c r="B141" s="20">
        <v>1</v>
      </c>
      <c r="C141" s="98">
        <v>45863</v>
      </c>
      <c r="D141" s="39" t="s">
        <v>735</v>
      </c>
      <c r="E141" s="20" t="s">
        <v>705</v>
      </c>
      <c r="F141" s="20" t="s">
        <v>100</v>
      </c>
      <c r="G141" s="150" t="s">
        <v>746</v>
      </c>
      <c r="H141" s="20" t="s">
        <v>87</v>
      </c>
      <c r="I141" s="20" t="s">
        <v>88</v>
      </c>
      <c r="J141" s="20" t="s">
        <v>89</v>
      </c>
      <c r="K141" s="69" t="s">
        <v>750</v>
      </c>
      <c r="L141" s="40"/>
      <c r="M141" s="132" t="s">
        <v>111</v>
      </c>
      <c r="N141" s="14" t="s">
        <v>751</v>
      </c>
    </row>
    <row r="142" spans="2:14" ht="60" x14ac:dyDescent="0.25">
      <c r="B142" s="20">
        <v>1</v>
      </c>
      <c r="C142" s="98">
        <v>45863</v>
      </c>
      <c r="D142" s="39" t="s">
        <v>735</v>
      </c>
      <c r="E142" s="20" t="s">
        <v>712</v>
      </c>
      <c r="F142" s="20" t="s">
        <v>100</v>
      </c>
      <c r="G142" s="150" t="s">
        <v>747</v>
      </c>
      <c r="H142" s="20" t="s">
        <v>87</v>
      </c>
      <c r="I142" s="20" t="s">
        <v>88</v>
      </c>
      <c r="J142" s="20" t="s">
        <v>89</v>
      </c>
      <c r="K142" s="69" t="s">
        <v>750</v>
      </c>
      <c r="L142" s="40"/>
      <c r="M142" s="132" t="s">
        <v>111</v>
      </c>
      <c r="N142" s="14" t="s">
        <v>751</v>
      </c>
    </row>
    <row r="143" spans="2:14" ht="90" x14ac:dyDescent="0.25">
      <c r="B143" s="20">
        <v>1</v>
      </c>
      <c r="C143" s="98">
        <v>45863</v>
      </c>
      <c r="D143" s="39" t="s">
        <v>735</v>
      </c>
      <c r="E143" s="20" t="s">
        <v>721</v>
      </c>
      <c r="F143" s="20" t="s">
        <v>100</v>
      </c>
      <c r="G143" s="150" t="s">
        <v>748</v>
      </c>
      <c r="H143" s="20" t="s">
        <v>87</v>
      </c>
      <c r="I143" s="20" t="s">
        <v>88</v>
      </c>
      <c r="J143" s="20" t="s">
        <v>89</v>
      </c>
      <c r="K143" s="69" t="s">
        <v>750</v>
      </c>
      <c r="L143" s="40"/>
      <c r="M143" s="132" t="s">
        <v>111</v>
      </c>
      <c r="N143" s="14" t="s">
        <v>751</v>
      </c>
    </row>
    <row r="144" spans="2:14" ht="60" x14ac:dyDescent="0.25">
      <c r="B144" s="20">
        <v>1</v>
      </c>
      <c r="C144" s="98">
        <v>45863</v>
      </c>
      <c r="D144" s="39" t="s">
        <v>735</v>
      </c>
      <c r="E144" s="20" t="s">
        <v>752</v>
      </c>
      <c r="F144" s="20" t="s">
        <v>100</v>
      </c>
      <c r="G144" s="150" t="s">
        <v>749</v>
      </c>
      <c r="H144" s="20" t="s">
        <v>87</v>
      </c>
      <c r="I144" s="20" t="s">
        <v>88</v>
      </c>
      <c r="J144" s="20" t="s">
        <v>89</v>
      </c>
      <c r="K144" s="69" t="s">
        <v>750</v>
      </c>
      <c r="L144" s="40"/>
      <c r="M144" s="132" t="s">
        <v>111</v>
      </c>
      <c r="N144" s="14" t="s">
        <v>751</v>
      </c>
    </row>
    <row r="145" spans="2:14" ht="60" x14ac:dyDescent="0.25">
      <c r="B145" s="20">
        <v>1</v>
      </c>
      <c r="C145" s="98">
        <v>45876</v>
      </c>
      <c r="D145" s="19" t="s">
        <v>83</v>
      </c>
      <c r="E145" s="20" t="s">
        <v>753</v>
      </c>
      <c r="F145" s="20" t="s">
        <v>100</v>
      </c>
      <c r="G145" s="150" t="s">
        <v>581</v>
      </c>
      <c r="H145" s="20" t="s">
        <v>87</v>
      </c>
      <c r="I145" s="20" t="s">
        <v>88</v>
      </c>
      <c r="J145" s="20" t="s">
        <v>89</v>
      </c>
      <c r="K145" s="29" t="s">
        <v>129</v>
      </c>
      <c r="L145" s="40"/>
      <c r="M145" s="67" t="s">
        <v>111</v>
      </c>
      <c r="N145" s="40"/>
    </row>
    <row r="146" spans="2:14" ht="105" x14ac:dyDescent="0.25">
      <c r="B146" s="20">
        <v>1</v>
      </c>
      <c r="C146" s="98">
        <v>45881</v>
      </c>
      <c r="D146" s="14" t="s">
        <v>722</v>
      </c>
      <c r="E146" s="20" t="s">
        <v>766</v>
      </c>
      <c r="F146" s="20" t="s">
        <v>100</v>
      </c>
      <c r="G146" s="150" t="s">
        <v>723</v>
      </c>
      <c r="H146" s="20" t="s">
        <v>87</v>
      </c>
      <c r="I146" s="20" t="s">
        <v>88</v>
      </c>
      <c r="J146" s="20" t="s">
        <v>89</v>
      </c>
      <c r="K146" s="83" t="s">
        <v>526</v>
      </c>
      <c r="L146" s="40"/>
      <c r="M146" s="67" t="s">
        <v>111</v>
      </c>
      <c r="N146" s="40"/>
    </row>
    <row r="147" spans="2:14" ht="150" x14ac:dyDescent="0.25">
      <c r="B147" s="20">
        <v>1</v>
      </c>
      <c r="C147" s="98">
        <v>45881</v>
      </c>
      <c r="D147" s="14" t="s">
        <v>722</v>
      </c>
      <c r="E147" s="20" t="s">
        <v>767</v>
      </c>
      <c r="F147" s="20" t="s">
        <v>100</v>
      </c>
      <c r="G147" s="150" t="s">
        <v>724</v>
      </c>
      <c r="H147" s="20" t="s">
        <v>87</v>
      </c>
      <c r="I147" s="20" t="s">
        <v>88</v>
      </c>
      <c r="J147" s="20" t="s">
        <v>89</v>
      </c>
      <c r="K147" s="29" t="s">
        <v>179</v>
      </c>
      <c r="L147" s="40"/>
      <c r="M147" s="67" t="s">
        <v>111</v>
      </c>
      <c r="N147" s="40"/>
    </row>
    <row r="148" spans="2:14" ht="135" x14ac:dyDescent="0.25">
      <c r="B148" s="20">
        <v>1</v>
      </c>
      <c r="C148" s="98">
        <v>45881</v>
      </c>
      <c r="D148" s="14" t="s">
        <v>722</v>
      </c>
      <c r="E148" s="20" t="s">
        <v>768</v>
      </c>
      <c r="F148" s="20" t="s">
        <v>100</v>
      </c>
      <c r="G148" s="150" t="s">
        <v>725</v>
      </c>
      <c r="H148" s="20" t="s">
        <v>99</v>
      </c>
      <c r="I148" s="20" t="s">
        <v>88</v>
      </c>
      <c r="J148" s="20" t="s">
        <v>89</v>
      </c>
      <c r="K148" s="29" t="s">
        <v>179</v>
      </c>
      <c r="L148" s="40"/>
      <c r="M148" s="67" t="s">
        <v>111</v>
      </c>
      <c r="N148" s="40"/>
    </row>
    <row r="149" spans="2:14" ht="75" x14ac:dyDescent="0.25">
      <c r="B149" s="20">
        <v>1</v>
      </c>
      <c r="C149" s="98">
        <v>45881</v>
      </c>
      <c r="D149" s="14" t="s">
        <v>722</v>
      </c>
      <c r="E149" s="20" t="s">
        <v>769</v>
      </c>
      <c r="F149" s="20" t="s">
        <v>100</v>
      </c>
      <c r="G149" s="150" t="s">
        <v>726</v>
      </c>
      <c r="H149" s="20" t="s">
        <v>87</v>
      </c>
      <c r="I149" s="20" t="s">
        <v>88</v>
      </c>
      <c r="J149" s="20" t="s">
        <v>89</v>
      </c>
      <c r="K149" s="69" t="s">
        <v>526</v>
      </c>
      <c r="L149" s="40"/>
      <c r="M149" s="67" t="s">
        <v>111</v>
      </c>
      <c r="N149" s="40"/>
    </row>
    <row r="150" spans="2:14" ht="120" x14ac:dyDescent="0.25">
      <c r="B150" s="20">
        <v>1</v>
      </c>
      <c r="C150" s="98">
        <v>45881</v>
      </c>
      <c r="D150" s="14" t="s">
        <v>722</v>
      </c>
      <c r="E150" s="20" t="s">
        <v>770</v>
      </c>
      <c r="F150" s="20" t="s">
        <v>100</v>
      </c>
      <c r="G150" s="150" t="s">
        <v>727</v>
      </c>
      <c r="H150" s="20" t="s">
        <v>99</v>
      </c>
      <c r="I150" s="20" t="s">
        <v>88</v>
      </c>
      <c r="J150" s="20" t="s">
        <v>89</v>
      </c>
      <c r="K150" s="69" t="s">
        <v>526</v>
      </c>
      <c r="L150" s="40"/>
      <c r="M150" s="67" t="s">
        <v>111</v>
      </c>
      <c r="N150" s="40"/>
    </row>
    <row r="151" spans="2:14" ht="255" x14ac:dyDescent="0.25">
      <c r="B151" s="20">
        <v>1</v>
      </c>
      <c r="C151" s="98">
        <v>45881</v>
      </c>
      <c r="D151" s="14" t="s">
        <v>722</v>
      </c>
      <c r="E151" s="20" t="s">
        <v>771</v>
      </c>
      <c r="F151" s="20" t="s">
        <v>100</v>
      </c>
      <c r="G151" s="150" t="s">
        <v>733</v>
      </c>
      <c r="H151" s="20" t="s">
        <v>99</v>
      </c>
      <c r="I151" s="20" t="s">
        <v>88</v>
      </c>
      <c r="J151" s="20" t="s">
        <v>89</v>
      </c>
      <c r="K151" s="69" t="s">
        <v>526</v>
      </c>
      <c r="L151" s="40"/>
      <c r="M151" s="67" t="s">
        <v>111</v>
      </c>
      <c r="N151" s="40"/>
    </row>
    <row r="152" spans="2:14" ht="105" x14ac:dyDescent="0.25">
      <c r="B152" s="20">
        <v>1</v>
      </c>
      <c r="C152" s="98">
        <v>45881</v>
      </c>
      <c r="D152" s="14" t="s">
        <v>722</v>
      </c>
      <c r="E152" s="20" t="s">
        <v>772</v>
      </c>
      <c r="F152" s="20" t="s">
        <v>100</v>
      </c>
      <c r="G152" s="150" t="s">
        <v>734</v>
      </c>
      <c r="H152" s="20" t="s">
        <v>99</v>
      </c>
      <c r="I152" s="20" t="s">
        <v>88</v>
      </c>
      <c r="J152" s="20" t="s">
        <v>89</v>
      </c>
      <c r="K152" s="69" t="s">
        <v>526</v>
      </c>
      <c r="L152" s="40"/>
      <c r="M152" s="67" t="s">
        <v>111</v>
      </c>
      <c r="N152" s="40"/>
    </row>
    <row r="153" spans="2:14" ht="255" x14ac:dyDescent="0.25">
      <c r="B153" s="20">
        <v>1</v>
      </c>
      <c r="C153" s="98">
        <v>45881</v>
      </c>
      <c r="D153" s="14" t="s">
        <v>722</v>
      </c>
      <c r="E153" s="20" t="s">
        <v>773</v>
      </c>
      <c r="F153" s="20" t="s">
        <v>100</v>
      </c>
      <c r="G153" s="150" t="s">
        <v>730</v>
      </c>
      <c r="H153" s="20" t="s">
        <v>99</v>
      </c>
      <c r="I153" s="20" t="s">
        <v>88</v>
      </c>
      <c r="J153" s="20" t="s">
        <v>89</v>
      </c>
      <c r="K153" s="30" t="s">
        <v>526</v>
      </c>
      <c r="L153" s="40"/>
      <c r="M153" s="67" t="s">
        <v>111</v>
      </c>
      <c r="N153" s="40"/>
    </row>
    <row r="154" spans="2:14" ht="135" x14ac:dyDescent="0.25">
      <c r="B154" s="20">
        <v>1</v>
      </c>
      <c r="C154" s="98"/>
      <c r="D154" s="14" t="s">
        <v>722</v>
      </c>
      <c r="E154" s="20" t="s">
        <v>774</v>
      </c>
      <c r="F154" s="20" t="s">
        <v>100</v>
      </c>
      <c r="G154" s="150" t="s">
        <v>731</v>
      </c>
      <c r="H154" s="20" t="s">
        <v>87</v>
      </c>
      <c r="I154" s="20" t="s">
        <v>88</v>
      </c>
      <c r="J154" s="20" t="s">
        <v>89</v>
      </c>
      <c r="K154" s="30" t="s">
        <v>526</v>
      </c>
      <c r="L154" s="40"/>
      <c r="M154" s="67" t="s">
        <v>111</v>
      </c>
      <c r="N154" s="40"/>
    </row>
    <row r="155" spans="2:14" ht="120" x14ac:dyDescent="0.25">
      <c r="B155" s="20">
        <v>1</v>
      </c>
      <c r="C155" s="98">
        <v>45881</v>
      </c>
      <c r="D155" s="14" t="s">
        <v>722</v>
      </c>
      <c r="E155" s="20" t="s">
        <v>775</v>
      </c>
      <c r="F155" s="20" t="s">
        <v>100</v>
      </c>
      <c r="G155" s="150" t="s">
        <v>732</v>
      </c>
      <c r="H155" s="20" t="s">
        <v>99</v>
      </c>
      <c r="I155" s="20" t="s">
        <v>88</v>
      </c>
      <c r="J155" s="20" t="s">
        <v>89</v>
      </c>
      <c r="K155" s="30" t="s">
        <v>526</v>
      </c>
      <c r="L155" s="40"/>
      <c r="M155" s="67" t="s">
        <v>111</v>
      </c>
      <c r="N155" s="40"/>
    </row>
    <row r="156" spans="2:14" ht="60" x14ac:dyDescent="0.25">
      <c r="B156" s="20">
        <v>152</v>
      </c>
      <c r="C156" s="98">
        <v>45886</v>
      </c>
      <c r="D156" s="99" t="s">
        <v>83</v>
      </c>
      <c r="E156" s="20" t="s">
        <v>776</v>
      </c>
      <c r="F156" s="20" t="s">
        <v>85</v>
      </c>
      <c r="G156" s="5" t="s">
        <v>661</v>
      </c>
      <c r="H156" s="20" t="s">
        <v>87</v>
      </c>
      <c r="I156" s="20" t="s">
        <v>88</v>
      </c>
      <c r="J156" s="20" t="s">
        <v>89</v>
      </c>
      <c r="K156" s="30" t="s">
        <v>179</v>
      </c>
      <c r="L156" s="40"/>
      <c r="M156" s="132" t="s">
        <v>111</v>
      </c>
      <c r="N156" s="40" t="s">
        <v>823</v>
      </c>
    </row>
    <row r="157" spans="2:14" ht="31.5" x14ac:dyDescent="0.25">
      <c r="B157" s="20">
        <v>153</v>
      </c>
      <c r="C157" s="98">
        <v>45894</v>
      </c>
      <c r="D157" s="99"/>
      <c r="E157" s="20" t="s">
        <v>777</v>
      </c>
      <c r="F157" s="20" t="s">
        <v>85</v>
      </c>
      <c r="G157" s="100" t="s">
        <v>664</v>
      </c>
      <c r="H157" s="20" t="s">
        <v>87</v>
      </c>
      <c r="I157" s="20" t="s">
        <v>88</v>
      </c>
      <c r="J157" s="20" t="s">
        <v>89</v>
      </c>
      <c r="K157" s="30" t="s">
        <v>179</v>
      </c>
      <c r="L157" s="40"/>
      <c r="M157" s="132" t="s">
        <v>111</v>
      </c>
      <c r="N157" s="40" t="s">
        <v>823</v>
      </c>
    </row>
    <row r="158" spans="2:14" ht="105" x14ac:dyDescent="0.25">
      <c r="B158" s="20">
        <v>154</v>
      </c>
      <c r="C158" s="98">
        <v>45909</v>
      </c>
      <c r="D158" s="99" t="s">
        <v>83</v>
      </c>
      <c r="E158" s="20" t="s">
        <v>778</v>
      </c>
      <c r="F158" s="20" t="s">
        <v>85</v>
      </c>
      <c r="G158" s="150" t="s">
        <v>675</v>
      </c>
      <c r="H158" s="20" t="s">
        <v>87</v>
      </c>
      <c r="I158" s="20" t="s">
        <v>88</v>
      </c>
      <c r="J158" s="20" t="s">
        <v>89</v>
      </c>
      <c r="K158" s="30" t="s">
        <v>179</v>
      </c>
      <c r="L158" s="40"/>
      <c r="M158" s="67" t="s">
        <v>111</v>
      </c>
      <c r="N158" s="40" t="s">
        <v>823</v>
      </c>
    </row>
    <row r="159" spans="2:14" ht="135" x14ac:dyDescent="0.25">
      <c r="B159" s="20">
        <v>155</v>
      </c>
      <c r="C159" s="147">
        <v>45914</v>
      </c>
      <c r="D159" s="99" t="s">
        <v>83</v>
      </c>
      <c r="E159" s="20" t="s">
        <v>779</v>
      </c>
      <c r="F159" s="20" t="s">
        <v>85</v>
      </c>
      <c r="G159" s="150" t="s">
        <v>671</v>
      </c>
      <c r="H159" s="20" t="s">
        <v>87</v>
      </c>
      <c r="I159" s="20" t="s">
        <v>88</v>
      </c>
      <c r="J159" s="20" t="s">
        <v>89</v>
      </c>
      <c r="K159" s="30" t="s">
        <v>179</v>
      </c>
      <c r="L159" s="40"/>
      <c r="M159" s="67" t="s">
        <v>111</v>
      </c>
      <c r="N159" s="40" t="s">
        <v>815</v>
      </c>
    </row>
    <row r="160" spans="2:14" ht="135" x14ac:dyDescent="0.25">
      <c r="B160" s="20">
        <v>1</v>
      </c>
      <c r="C160" s="147">
        <v>45914</v>
      </c>
      <c r="D160" s="99" t="s">
        <v>83</v>
      </c>
      <c r="E160" s="20" t="s">
        <v>780</v>
      </c>
      <c r="F160" s="20" t="s">
        <v>100</v>
      </c>
      <c r="G160" s="150" t="s">
        <v>672</v>
      </c>
      <c r="H160" s="20" t="s">
        <v>87</v>
      </c>
      <c r="I160" s="20" t="s">
        <v>88</v>
      </c>
      <c r="J160" s="20" t="s">
        <v>89</v>
      </c>
      <c r="K160" s="30" t="s">
        <v>394</v>
      </c>
      <c r="L160" s="40"/>
      <c r="M160" s="158" t="s">
        <v>388</v>
      </c>
      <c r="N160" s="40"/>
    </row>
    <row r="161" spans="2:14" ht="150" x14ac:dyDescent="0.25">
      <c r="B161" s="20">
        <v>1</v>
      </c>
      <c r="C161" s="147">
        <v>45914</v>
      </c>
      <c r="D161" s="99" t="s">
        <v>83</v>
      </c>
      <c r="E161" s="20" t="s">
        <v>781</v>
      </c>
      <c r="F161" s="20" t="s">
        <v>100</v>
      </c>
      <c r="G161" s="150" t="s">
        <v>804</v>
      </c>
      <c r="H161" s="20" t="s">
        <v>87</v>
      </c>
      <c r="I161" s="20" t="s">
        <v>88</v>
      </c>
      <c r="J161" s="20" t="s">
        <v>89</v>
      </c>
      <c r="K161" s="29" t="s">
        <v>129</v>
      </c>
      <c r="L161" s="40"/>
      <c r="M161" s="67" t="s">
        <v>111</v>
      </c>
      <c r="N161" s="40"/>
    </row>
    <row r="162" spans="2:14" ht="60" x14ac:dyDescent="0.25">
      <c r="B162" s="20">
        <v>1</v>
      </c>
      <c r="C162" s="112">
        <v>45937</v>
      </c>
      <c r="D162" s="99" t="s">
        <v>83</v>
      </c>
      <c r="E162" s="20" t="s">
        <v>782</v>
      </c>
      <c r="F162" s="20" t="s">
        <v>100</v>
      </c>
      <c r="G162" s="150" t="s">
        <v>681</v>
      </c>
      <c r="H162" s="20" t="s">
        <v>87</v>
      </c>
      <c r="I162" s="20" t="s">
        <v>88</v>
      </c>
      <c r="J162" s="20" t="s">
        <v>89</v>
      </c>
      <c r="K162" s="30" t="s">
        <v>394</v>
      </c>
      <c r="L162" s="40"/>
      <c r="M162" s="158" t="s">
        <v>388</v>
      </c>
      <c r="N162" s="40"/>
    </row>
    <row r="163" spans="2:14" ht="120" x14ac:dyDescent="0.25">
      <c r="B163" s="20">
        <v>1</v>
      </c>
      <c r="C163" s="98">
        <v>45940</v>
      </c>
      <c r="D163" s="99" t="s">
        <v>83</v>
      </c>
      <c r="E163" s="20" t="s">
        <v>783</v>
      </c>
      <c r="F163" s="20" t="s">
        <v>100</v>
      </c>
      <c r="G163" s="82" t="s">
        <v>685</v>
      </c>
      <c r="H163" s="20" t="s">
        <v>99</v>
      </c>
      <c r="I163" s="20" t="s">
        <v>88</v>
      </c>
      <c r="J163" s="20" t="s">
        <v>89</v>
      </c>
      <c r="K163" s="30" t="s">
        <v>394</v>
      </c>
      <c r="L163" s="40"/>
      <c r="M163" s="158" t="s">
        <v>388</v>
      </c>
      <c r="N163" s="40"/>
    </row>
    <row r="164" spans="2:14" ht="30" x14ac:dyDescent="0.25">
      <c r="B164" s="20">
        <v>160</v>
      </c>
      <c r="C164" s="111">
        <v>45949</v>
      </c>
      <c r="D164" s="99" t="s">
        <v>83</v>
      </c>
      <c r="E164" s="20" t="s">
        <v>784</v>
      </c>
      <c r="F164" s="20" t="s">
        <v>85</v>
      </c>
      <c r="G164" s="82" t="s">
        <v>697</v>
      </c>
      <c r="H164" s="20" t="s">
        <v>87</v>
      </c>
      <c r="I164" s="20" t="s">
        <v>88</v>
      </c>
      <c r="J164" s="20" t="s">
        <v>89</v>
      </c>
      <c r="K164" s="30" t="s">
        <v>179</v>
      </c>
      <c r="L164" s="40"/>
      <c r="M164" s="67" t="s">
        <v>111</v>
      </c>
      <c r="N164" s="40"/>
    </row>
    <row r="165" spans="2:14" ht="105" x14ac:dyDescent="0.25">
      <c r="B165" s="20">
        <v>161</v>
      </c>
      <c r="C165" s="111">
        <v>45950</v>
      </c>
      <c r="D165" s="99" t="s">
        <v>83</v>
      </c>
      <c r="E165" s="20" t="s">
        <v>785</v>
      </c>
      <c r="F165" s="20" t="s">
        <v>138</v>
      </c>
      <c r="G165" s="82" t="s">
        <v>756</v>
      </c>
      <c r="H165" s="20" t="s">
        <v>99</v>
      </c>
      <c r="I165" s="20" t="s">
        <v>88</v>
      </c>
      <c r="J165" s="20" t="s">
        <v>89</v>
      </c>
      <c r="K165" s="29" t="s">
        <v>129</v>
      </c>
      <c r="L165" s="40"/>
      <c r="M165" s="67" t="s">
        <v>111</v>
      </c>
      <c r="N165" s="14" t="s">
        <v>757</v>
      </c>
    </row>
    <row r="166" spans="2:14" ht="105" x14ac:dyDescent="0.25">
      <c r="B166" s="20">
        <v>1</v>
      </c>
      <c r="C166" s="111">
        <v>45954</v>
      </c>
      <c r="D166" s="99" t="s">
        <v>83</v>
      </c>
      <c r="E166" s="20" t="s">
        <v>786</v>
      </c>
      <c r="F166" s="20" t="s">
        <v>100</v>
      </c>
      <c r="G166" s="82" t="s">
        <v>711</v>
      </c>
      <c r="H166" s="20" t="s">
        <v>87</v>
      </c>
      <c r="I166" s="20" t="s">
        <v>88</v>
      </c>
      <c r="J166" s="20" t="s">
        <v>89</v>
      </c>
      <c r="K166" s="30" t="s">
        <v>176</v>
      </c>
      <c r="L166" s="40"/>
      <c r="M166" s="132" t="s">
        <v>111</v>
      </c>
      <c r="N166" s="40"/>
    </row>
    <row r="167" spans="2:14" ht="75" x14ac:dyDescent="0.25">
      <c r="B167" s="20">
        <v>1</v>
      </c>
      <c r="C167" s="98">
        <v>45959</v>
      </c>
      <c r="D167" s="99" t="s">
        <v>83</v>
      </c>
      <c r="E167" s="20" t="s">
        <v>787</v>
      </c>
      <c r="F167" s="20" t="s">
        <v>100</v>
      </c>
      <c r="G167" s="82" t="s">
        <v>702</v>
      </c>
      <c r="H167" s="20" t="s">
        <v>99</v>
      </c>
      <c r="I167" s="20" t="s">
        <v>88</v>
      </c>
      <c r="J167" s="20" t="s">
        <v>89</v>
      </c>
      <c r="K167" s="30" t="s">
        <v>176</v>
      </c>
      <c r="L167" s="40"/>
      <c r="M167" s="132" t="s">
        <v>111</v>
      </c>
      <c r="N167" s="40"/>
    </row>
    <row r="168" spans="2:14" ht="157.5" x14ac:dyDescent="0.25">
      <c r="B168" s="20">
        <v>1</v>
      </c>
      <c r="C168" s="98">
        <v>45959</v>
      </c>
      <c r="D168" s="99" t="s">
        <v>83</v>
      </c>
      <c r="E168" s="20" t="s">
        <v>788</v>
      </c>
      <c r="F168" s="20" t="s">
        <v>100</v>
      </c>
      <c r="G168" s="100" t="s">
        <v>703</v>
      </c>
      <c r="H168" s="20" t="s">
        <v>99</v>
      </c>
      <c r="I168" s="20" t="s">
        <v>88</v>
      </c>
      <c r="J168" s="20" t="s">
        <v>89</v>
      </c>
      <c r="K168" s="30" t="s">
        <v>176</v>
      </c>
      <c r="L168" s="40"/>
      <c r="M168" s="132" t="s">
        <v>111</v>
      </c>
      <c r="N168" s="40"/>
    </row>
    <row r="169" spans="2:14" ht="195" x14ac:dyDescent="0.25">
      <c r="B169" s="20">
        <v>1</v>
      </c>
      <c r="C169" s="98">
        <v>45972</v>
      </c>
      <c r="D169" s="99" t="s">
        <v>83</v>
      </c>
      <c r="E169" s="20" t="s">
        <v>789</v>
      </c>
      <c r="F169" s="20" t="s">
        <v>100</v>
      </c>
      <c r="G169" s="82" t="s">
        <v>720</v>
      </c>
      <c r="H169" s="20" t="s">
        <v>99</v>
      </c>
      <c r="I169" s="20" t="s">
        <v>88</v>
      </c>
      <c r="J169" s="20" t="s">
        <v>89</v>
      </c>
      <c r="K169" s="30" t="s">
        <v>179</v>
      </c>
      <c r="L169" s="40"/>
      <c r="M169" s="158" t="s">
        <v>388</v>
      </c>
      <c r="N169" s="40"/>
    </row>
    <row r="170" spans="2:14" ht="195" x14ac:dyDescent="0.25">
      <c r="B170" s="20">
        <v>1</v>
      </c>
      <c r="C170" s="98">
        <v>45994</v>
      </c>
      <c r="D170" s="99" t="s">
        <v>83</v>
      </c>
      <c r="E170" s="20" t="s">
        <v>790</v>
      </c>
      <c r="F170" s="20" t="s">
        <v>100</v>
      </c>
      <c r="G170" s="82" t="s">
        <v>764</v>
      </c>
      <c r="H170" s="20" t="s">
        <v>87</v>
      </c>
      <c r="I170" s="20" t="s">
        <v>88</v>
      </c>
      <c r="J170" s="20" t="s">
        <v>89</v>
      </c>
      <c r="K170" s="30" t="s">
        <v>765</v>
      </c>
      <c r="L170" s="40"/>
      <c r="M170" s="158" t="s">
        <v>388</v>
      </c>
      <c r="N170" s="40"/>
    </row>
    <row r="171" spans="2:14" ht="195" x14ac:dyDescent="0.25">
      <c r="B171" s="18">
        <v>167</v>
      </c>
      <c r="C171" s="111">
        <v>46014</v>
      </c>
      <c r="D171" s="99" t="s">
        <v>83</v>
      </c>
      <c r="E171" s="20" t="s">
        <v>798</v>
      </c>
      <c r="F171" s="101" t="s">
        <v>138</v>
      </c>
      <c r="G171" s="82" t="s">
        <v>800</v>
      </c>
      <c r="H171" s="20" t="s">
        <v>87</v>
      </c>
      <c r="I171" s="20" t="s">
        <v>88</v>
      </c>
      <c r="J171" s="20" t="s">
        <v>88</v>
      </c>
      <c r="K171" s="69" t="s">
        <v>179</v>
      </c>
      <c r="L171" s="40"/>
      <c r="M171" s="158" t="s">
        <v>388</v>
      </c>
      <c r="N171" s="40"/>
    </row>
    <row r="172" spans="2:14" ht="195" x14ac:dyDescent="0.25">
      <c r="B172" s="20">
        <v>1</v>
      </c>
      <c r="C172" s="111">
        <v>46014</v>
      </c>
      <c r="D172" s="99" t="s">
        <v>83</v>
      </c>
      <c r="E172" s="20" t="s">
        <v>789</v>
      </c>
      <c r="F172" s="20" t="s">
        <v>100</v>
      </c>
      <c r="G172" s="82" t="s">
        <v>800</v>
      </c>
      <c r="H172" s="20" t="s">
        <v>87</v>
      </c>
      <c r="I172" s="20" t="s">
        <v>88</v>
      </c>
      <c r="J172" s="20" t="s">
        <v>89</v>
      </c>
      <c r="K172" s="30" t="s">
        <v>179</v>
      </c>
      <c r="L172" s="40"/>
      <c r="M172" s="158" t="s">
        <v>388</v>
      </c>
      <c r="N172" s="40"/>
    </row>
    <row r="173" spans="2:14" ht="60" x14ac:dyDescent="0.25">
      <c r="B173" s="20">
        <v>1</v>
      </c>
      <c r="C173" s="111">
        <v>46020</v>
      </c>
      <c r="D173" s="99" t="s">
        <v>83</v>
      </c>
      <c r="E173" s="20" t="s">
        <v>790</v>
      </c>
      <c r="F173" s="20" t="s">
        <v>100</v>
      </c>
      <c r="G173" s="82" t="s">
        <v>809</v>
      </c>
      <c r="H173" s="20" t="s">
        <v>87</v>
      </c>
      <c r="I173" s="20" t="s">
        <v>88</v>
      </c>
      <c r="J173" s="20" t="s">
        <v>89</v>
      </c>
      <c r="K173" s="30" t="s">
        <v>179</v>
      </c>
      <c r="L173" s="40"/>
      <c r="M173" s="158" t="s">
        <v>388</v>
      </c>
      <c r="N173" s="40"/>
    </row>
    <row r="174" spans="2:14" ht="165" x14ac:dyDescent="0.25">
      <c r="B174" s="20">
        <v>1</v>
      </c>
      <c r="C174" s="111">
        <v>45987</v>
      </c>
      <c r="D174" s="14" t="s">
        <v>832</v>
      </c>
      <c r="E174" s="19" t="s">
        <v>849</v>
      </c>
      <c r="F174" s="20" t="s">
        <v>100</v>
      </c>
      <c r="G174" s="82" t="s">
        <v>833</v>
      </c>
      <c r="H174" s="20" t="s">
        <v>99</v>
      </c>
      <c r="I174" s="20" t="s">
        <v>88</v>
      </c>
      <c r="J174" s="20" t="s">
        <v>89</v>
      </c>
      <c r="K174" s="29" t="s">
        <v>271</v>
      </c>
      <c r="L174" s="75">
        <v>46018</v>
      </c>
      <c r="M174" s="185" t="s">
        <v>328</v>
      </c>
      <c r="N174" s="40"/>
    </row>
    <row r="175" spans="2:14" ht="165" x14ac:dyDescent="0.25">
      <c r="B175" s="20">
        <v>2</v>
      </c>
      <c r="C175" s="111">
        <v>45987</v>
      </c>
      <c r="D175" s="14" t="s">
        <v>832</v>
      </c>
      <c r="E175" s="19" t="s">
        <v>850</v>
      </c>
      <c r="F175" s="20" t="s">
        <v>100</v>
      </c>
      <c r="G175" s="82" t="s">
        <v>834</v>
      </c>
      <c r="H175" s="20" t="s">
        <v>99</v>
      </c>
      <c r="I175" s="20" t="s">
        <v>88</v>
      </c>
      <c r="J175" s="20" t="s">
        <v>89</v>
      </c>
      <c r="K175" s="29" t="s">
        <v>271</v>
      </c>
      <c r="L175" s="20"/>
      <c r="M175" s="105" t="s">
        <v>388</v>
      </c>
      <c r="N175" s="40"/>
    </row>
    <row r="176" spans="2:14" ht="180" x14ac:dyDescent="0.25">
      <c r="B176" s="20">
        <v>3</v>
      </c>
      <c r="C176" s="111">
        <v>45987</v>
      </c>
      <c r="D176" s="14" t="s">
        <v>832</v>
      </c>
      <c r="E176" s="19" t="s">
        <v>851</v>
      </c>
      <c r="F176" s="20" t="s">
        <v>100</v>
      </c>
      <c r="G176" s="82" t="s">
        <v>835</v>
      </c>
      <c r="H176" s="20" t="s">
        <v>99</v>
      </c>
      <c r="I176" s="20" t="s">
        <v>88</v>
      </c>
      <c r="J176" s="20" t="s">
        <v>89</v>
      </c>
      <c r="K176" s="29" t="s">
        <v>271</v>
      </c>
      <c r="L176" s="75">
        <v>46018</v>
      </c>
      <c r="M176" s="185" t="s">
        <v>328</v>
      </c>
      <c r="N176" s="40" t="s">
        <v>912</v>
      </c>
    </row>
    <row r="177" spans="2:14" ht="135" x14ac:dyDescent="0.25">
      <c r="B177" s="20">
        <v>4</v>
      </c>
      <c r="C177" s="111">
        <v>45987</v>
      </c>
      <c r="D177" s="14" t="s">
        <v>832</v>
      </c>
      <c r="E177" s="19" t="s">
        <v>852</v>
      </c>
      <c r="F177" s="20" t="s">
        <v>100</v>
      </c>
      <c r="G177" s="82" t="s">
        <v>836</v>
      </c>
      <c r="H177" s="20" t="s">
        <v>99</v>
      </c>
      <c r="I177" s="20" t="s">
        <v>88</v>
      </c>
      <c r="J177" s="20" t="s">
        <v>89</v>
      </c>
      <c r="K177" s="29" t="s">
        <v>271</v>
      </c>
      <c r="L177" s="75">
        <v>46018</v>
      </c>
      <c r="M177" s="185" t="s">
        <v>328</v>
      </c>
      <c r="N177" s="40" t="s">
        <v>912</v>
      </c>
    </row>
    <row r="178" spans="2:14" ht="195" x14ac:dyDescent="0.25">
      <c r="B178" s="20">
        <v>5</v>
      </c>
      <c r="C178" s="111">
        <v>45987</v>
      </c>
      <c r="D178" s="14" t="s">
        <v>832</v>
      </c>
      <c r="E178" s="19" t="s">
        <v>853</v>
      </c>
      <c r="F178" s="20" t="s">
        <v>100</v>
      </c>
      <c r="G178" s="82" t="s">
        <v>837</v>
      </c>
      <c r="H178" s="20" t="s">
        <v>99</v>
      </c>
      <c r="I178" s="20" t="s">
        <v>88</v>
      </c>
      <c r="J178" s="20" t="s">
        <v>89</v>
      </c>
      <c r="K178" s="29" t="s">
        <v>271</v>
      </c>
      <c r="L178" s="20"/>
      <c r="M178" s="185" t="s">
        <v>328</v>
      </c>
      <c r="N178" s="40"/>
    </row>
    <row r="179" spans="2:14" ht="60" x14ac:dyDescent="0.25">
      <c r="B179" s="20">
        <v>6</v>
      </c>
      <c r="C179" s="111">
        <v>45987</v>
      </c>
      <c r="D179" s="14" t="s">
        <v>832</v>
      </c>
      <c r="E179" s="19" t="s">
        <v>854</v>
      </c>
      <c r="F179" s="20" t="s">
        <v>100</v>
      </c>
      <c r="G179" s="82" t="s">
        <v>838</v>
      </c>
      <c r="H179" s="20" t="s">
        <v>99</v>
      </c>
      <c r="I179" s="20" t="s">
        <v>88</v>
      </c>
      <c r="J179" s="20" t="s">
        <v>89</v>
      </c>
      <c r="K179" s="29" t="s">
        <v>271</v>
      </c>
      <c r="L179" s="75">
        <v>46018</v>
      </c>
      <c r="M179" s="185" t="s">
        <v>328</v>
      </c>
      <c r="N179" s="40"/>
    </row>
    <row r="180" spans="2:14" ht="90" x14ac:dyDescent="0.25">
      <c r="B180" s="20">
        <v>7</v>
      </c>
      <c r="C180" s="111">
        <v>45987</v>
      </c>
      <c r="D180" s="14" t="s">
        <v>832</v>
      </c>
      <c r="E180" s="19" t="s">
        <v>855</v>
      </c>
      <c r="F180" s="20" t="s">
        <v>100</v>
      </c>
      <c r="G180" s="82" t="s">
        <v>839</v>
      </c>
      <c r="H180" s="20" t="s">
        <v>99</v>
      </c>
      <c r="I180" s="20" t="s">
        <v>88</v>
      </c>
      <c r="J180" s="20" t="s">
        <v>89</v>
      </c>
      <c r="K180" s="29" t="s">
        <v>271</v>
      </c>
      <c r="L180" s="75">
        <v>46018</v>
      </c>
      <c r="M180" s="185" t="s">
        <v>328</v>
      </c>
      <c r="N180" s="14" t="s">
        <v>912</v>
      </c>
    </row>
    <row r="181" spans="2:14" ht="75" x14ac:dyDescent="0.25">
      <c r="B181" s="20">
        <v>8</v>
      </c>
      <c r="C181" s="111">
        <v>45987</v>
      </c>
      <c r="D181" s="14" t="s">
        <v>832</v>
      </c>
      <c r="E181" s="19" t="s">
        <v>856</v>
      </c>
      <c r="F181" s="20" t="s">
        <v>100</v>
      </c>
      <c r="G181" s="82" t="s">
        <v>840</v>
      </c>
      <c r="H181" s="20" t="s">
        <v>99</v>
      </c>
      <c r="I181" s="20" t="s">
        <v>88</v>
      </c>
      <c r="J181" s="20" t="s">
        <v>89</v>
      </c>
      <c r="K181" s="29" t="s">
        <v>271</v>
      </c>
      <c r="L181" s="75">
        <v>46018</v>
      </c>
      <c r="M181" s="185" t="s">
        <v>328</v>
      </c>
      <c r="N181" s="40"/>
    </row>
    <row r="182" spans="2:14" ht="60" x14ac:dyDescent="0.25">
      <c r="B182" s="20">
        <v>10</v>
      </c>
      <c r="C182" s="111">
        <v>45987</v>
      </c>
      <c r="D182" s="14" t="s">
        <v>832</v>
      </c>
      <c r="E182" s="19" t="s">
        <v>857</v>
      </c>
      <c r="F182" s="20" t="s">
        <v>100</v>
      </c>
      <c r="G182" s="82" t="s">
        <v>841</v>
      </c>
      <c r="H182" s="20" t="s">
        <v>99</v>
      </c>
      <c r="I182" s="20" t="s">
        <v>88</v>
      </c>
      <c r="J182" s="20" t="s">
        <v>89</v>
      </c>
      <c r="K182" s="29" t="s">
        <v>271</v>
      </c>
      <c r="L182" s="75">
        <v>46018</v>
      </c>
      <c r="M182" s="185" t="s">
        <v>328</v>
      </c>
      <c r="N182" s="14" t="s">
        <v>912</v>
      </c>
    </row>
    <row r="183" spans="2:14" ht="236.25" x14ac:dyDescent="0.25">
      <c r="B183" s="20">
        <v>11</v>
      </c>
      <c r="C183" s="111">
        <v>45987</v>
      </c>
      <c r="D183" s="14" t="s">
        <v>832</v>
      </c>
      <c r="E183" s="19" t="s">
        <v>858</v>
      </c>
      <c r="F183" s="20" t="s">
        <v>100</v>
      </c>
      <c r="G183" s="25" t="s">
        <v>842</v>
      </c>
      <c r="H183" s="20" t="s">
        <v>99</v>
      </c>
      <c r="I183" s="20" t="s">
        <v>88</v>
      </c>
      <c r="J183" s="20" t="s">
        <v>89</v>
      </c>
      <c r="K183" s="29" t="s">
        <v>271</v>
      </c>
      <c r="L183" s="75">
        <v>46018</v>
      </c>
      <c r="M183" s="105" t="s">
        <v>388</v>
      </c>
      <c r="N183" s="40"/>
    </row>
    <row r="184" spans="2:14" ht="220.5" x14ac:dyDescent="0.25">
      <c r="B184" s="20">
        <v>12</v>
      </c>
      <c r="C184" s="111">
        <v>45987</v>
      </c>
      <c r="D184" s="14" t="s">
        <v>832</v>
      </c>
      <c r="E184" s="19" t="s">
        <v>859</v>
      </c>
      <c r="F184" s="20" t="s">
        <v>100</v>
      </c>
      <c r="G184" s="79" t="s">
        <v>843</v>
      </c>
      <c r="H184" s="20" t="s">
        <v>99</v>
      </c>
      <c r="I184" s="20" t="s">
        <v>88</v>
      </c>
      <c r="J184" s="20" t="s">
        <v>89</v>
      </c>
      <c r="K184" s="29" t="s">
        <v>271</v>
      </c>
      <c r="L184" s="75">
        <v>46018</v>
      </c>
      <c r="M184" s="185" t="s">
        <v>328</v>
      </c>
      <c r="N184" s="40"/>
    </row>
    <row r="185" spans="2:14" ht="120" x14ac:dyDescent="0.25">
      <c r="B185" s="20">
        <v>13</v>
      </c>
      <c r="C185" s="111">
        <v>46003</v>
      </c>
      <c r="D185" s="14" t="s">
        <v>832</v>
      </c>
      <c r="E185" s="19" t="s">
        <v>860</v>
      </c>
      <c r="F185" s="20" t="s">
        <v>100</v>
      </c>
      <c r="G185" s="150" t="s">
        <v>844</v>
      </c>
      <c r="H185" s="20" t="s">
        <v>99</v>
      </c>
      <c r="I185" s="20" t="s">
        <v>88</v>
      </c>
      <c r="J185" s="20" t="s">
        <v>89</v>
      </c>
      <c r="K185" s="29" t="s">
        <v>271</v>
      </c>
      <c r="L185" s="75">
        <v>46018</v>
      </c>
      <c r="M185" s="105" t="s">
        <v>388</v>
      </c>
      <c r="N185" s="40"/>
    </row>
    <row r="186" spans="2:14" ht="180" x14ac:dyDescent="0.25">
      <c r="B186" s="20">
        <v>14</v>
      </c>
      <c r="C186" s="111">
        <v>46003</v>
      </c>
      <c r="D186" s="14" t="s">
        <v>832</v>
      </c>
      <c r="E186" s="19" t="s">
        <v>861</v>
      </c>
      <c r="F186" s="20" t="s">
        <v>100</v>
      </c>
      <c r="G186" s="14" t="s">
        <v>845</v>
      </c>
      <c r="H186" s="20" t="s">
        <v>99</v>
      </c>
      <c r="I186" s="20" t="s">
        <v>88</v>
      </c>
      <c r="J186" s="20" t="s">
        <v>89</v>
      </c>
      <c r="K186" s="29" t="s">
        <v>271</v>
      </c>
      <c r="L186" s="174"/>
      <c r="M186" s="185" t="s">
        <v>328</v>
      </c>
      <c r="N186" s="14" t="s">
        <v>912</v>
      </c>
    </row>
    <row r="187" spans="2:14" ht="105" x14ac:dyDescent="0.25">
      <c r="B187" s="20">
        <v>15</v>
      </c>
      <c r="C187" s="75"/>
      <c r="D187" s="14" t="s">
        <v>832</v>
      </c>
      <c r="E187" s="19" t="s">
        <v>862</v>
      </c>
      <c r="F187" s="20" t="s">
        <v>100</v>
      </c>
      <c r="G187" s="82" t="s">
        <v>846</v>
      </c>
      <c r="H187" s="20" t="s">
        <v>99</v>
      </c>
      <c r="I187" s="20" t="s">
        <v>88</v>
      </c>
      <c r="J187" s="20" t="s">
        <v>89</v>
      </c>
      <c r="K187" s="29" t="s">
        <v>271</v>
      </c>
      <c r="L187" s="75">
        <v>46018</v>
      </c>
      <c r="M187" s="185" t="s">
        <v>328</v>
      </c>
      <c r="N187" s="14" t="s">
        <v>912</v>
      </c>
    </row>
    <row r="188" spans="2:14" ht="75" x14ac:dyDescent="0.25">
      <c r="B188" s="20">
        <v>16</v>
      </c>
      <c r="C188" s="111">
        <v>46003</v>
      </c>
      <c r="D188" s="14" t="s">
        <v>832</v>
      </c>
      <c r="E188" s="19" t="s">
        <v>863</v>
      </c>
      <c r="F188" s="20" t="s">
        <v>100</v>
      </c>
      <c r="G188" s="82" t="s">
        <v>847</v>
      </c>
      <c r="H188" s="20" t="s">
        <v>99</v>
      </c>
      <c r="I188" s="20" t="s">
        <v>88</v>
      </c>
      <c r="J188" s="20" t="s">
        <v>89</v>
      </c>
      <c r="K188" s="29" t="s">
        <v>271</v>
      </c>
      <c r="L188" s="75">
        <v>46018</v>
      </c>
      <c r="M188" s="185" t="s">
        <v>328</v>
      </c>
      <c r="N188" s="40"/>
    </row>
    <row r="189" spans="2:14" ht="105" x14ac:dyDescent="0.25">
      <c r="B189" s="20">
        <v>17</v>
      </c>
      <c r="C189" s="111">
        <v>46003</v>
      </c>
      <c r="D189" s="14" t="s">
        <v>832</v>
      </c>
      <c r="E189" s="19" t="s">
        <v>864</v>
      </c>
      <c r="F189" s="20" t="s">
        <v>100</v>
      </c>
      <c r="G189" s="82" t="s">
        <v>848</v>
      </c>
      <c r="H189" s="20" t="s">
        <v>99</v>
      </c>
      <c r="I189" s="20" t="s">
        <v>88</v>
      </c>
      <c r="J189" s="20" t="s">
        <v>89</v>
      </c>
      <c r="K189" s="29" t="s">
        <v>271</v>
      </c>
      <c r="L189" s="75">
        <v>46018</v>
      </c>
      <c r="M189" s="105" t="s">
        <v>388</v>
      </c>
      <c r="N189" s="40"/>
    </row>
    <row r="190" spans="2:14" ht="120" x14ac:dyDescent="0.25">
      <c r="B190" s="20">
        <v>18</v>
      </c>
      <c r="C190" s="111">
        <v>46003</v>
      </c>
      <c r="D190" s="14" t="s">
        <v>832</v>
      </c>
      <c r="E190" s="19" t="s">
        <v>888</v>
      </c>
      <c r="F190" s="20" t="s">
        <v>100</v>
      </c>
      <c r="G190" s="82" t="s">
        <v>865</v>
      </c>
      <c r="H190" s="20" t="s">
        <v>99</v>
      </c>
      <c r="I190" s="20" t="s">
        <v>88</v>
      </c>
      <c r="J190" s="20" t="s">
        <v>89</v>
      </c>
      <c r="K190" s="20" t="s">
        <v>179</v>
      </c>
      <c r="L190" s="43"/>
      <c r="M190" s="105" t="s">
        <v>388</v>
      </c>
      <c r="N190" s="40"/>
    </row>
    <row r="191" spans="2:14" ht="105" x14ac:dyDescent="0.25">
      <c r="B191" s="20">
        <v>19</v>
      </c>
      <c r="C191" s="111">
        <v>46003</v>
      </c>
      <c r="D191" s="14" t="s">
        <v>832</v>
      </c>
      <c r="E191" s="19" t="s">
        <v>889</v>
      </c>
      <c r="F191" s="20" t="s">
        <v>100</v>
      </c>
      <c r="G191" s="82" t="s">
        <v>866</v>
      </c>
      <c r="H191" s="20" t="s">
        <v>99</v>
      </c>
      <c r="I191" s="20" t="s">
        <v>88</v>
      </c>
      <c r="J191" s="20" t="s">
        <v>89</v>
      </c>
      <c r="K191" s="20" t="s">
        <v>179</v>
      </c>
      <c r="L191" s="43"/>
      <c r="M191" s="105" t="s">
        <v>388</v>
      </c>
      <c r="N191" s="40"/>
    </row>
    <row r="192" spans="2:14" ht="135" x14ac:dyDescent="0.25">
      <c r="B192" s="20">
        <v>20</v>
      </c>
      <c r="C192" s="111">
        <v>46003</v>
      </c>
      <c r="D192" s="14" t="s">
        <v>832</v>
      </c>
      <c r="E192" s="19" t="s">
        <v>889</v>
      </c>
      <c r="F192" s="20" t="s">
        <v>100</v>
      </c>
      <c r="G192" s="82" t="s">
        <v>867</v>
      </c>
      <c r="H192" s="20" t="s">
        <v>99</v>
      </c>
      <c r="I192" s="20" t="s">
        <v>88</v>
      </c>
      <c r="J192" s="20" t="s">
        <v>89</v>
      </c>
      <c r="K192" s="20" t="s">
        <v>179</v>
      </c>
      <c r="L192" s="43"/>
      <c r="M192" s="105" t="s">
        <v>388</v>
      </c>
      <c r="N192" s="40"/>
    </row>
    <row r="193" spans="2:14" ht="105" x14ac:dyDescent="0.25">
      <c r="B193" s="20">
        <v>21</v>
      </c>
      <c r="C193" s="111">
        <v>46003</v>
      </c>
      <c r="D193" s="14" t="s">
        <v>832</v>
      </c>
      <c r="E193" s="19" t="s">
        <v>890</v>
      </c>
      <c r="F193" s="20" t="s">
        <v>100</v>
      </c>
      <c r="G193" s="82" t="s">
        <v>868</v>
      </c>
      <c r="H193" s="20" t="s">
        <v>99</v>
      </c>
      <c r="I193" s="20" t="s">
        <v>88</v>
      </c>
      <c r="J193" s="20" t="s">
        <v>89</v>
      </c>
      <c r="K193" s="20" t="s">
        <v>179</v>
      </c>
      <c r="L193" s="43"/>
      <c r="M193" s="105" t="s">
        <v>388</v>
      </c>
      <c r="N193" s="40"/>
    </row>
    <row r="194" spans="2:14" ht="135" x14ac:dyDescent="0.25">
      <c r="B194" s="20">
        <v>22</v>
      </c>
      <c r="C194" s="111">
        <v>46003</v>
      </c>
      <c r="D194" s="14" t="s">
        <v>832</v>
      </c>
      <c r="E194" s="19" t="s">
        <v>891</v>
      </c>
      <c r="F194" s="20" t="s">
        <v>100</v>
      </c>
      <c r="G194" s="82" t="s">
        <v>869</v>
      </c>
      <c r="H194" s="20" t="s">
        <v>99</v>
      </c>
      <c r="I194" s="20" t="s">
        <v>88</v>
      </c>
      <c r="J194" s="20" t="s">
        <v>89</v>
      </c>
      <c r="K194" s="20" t="s">
        <v>179</v>
      </c>
      <c r="L194" s="43"/>
      <c r="M194" s="105" t="s">
        <v>388</v>
      </c>
      <c r="N194" s="40"/>
    </row>
    <row r="195" spans="2:14" ht="90" x14ac:dyDescent="0.25">
      <c r="B195" s="20">
        <v>23</v>
      </c>
      <c r="C195" s="111">
        <v>46003</v>
      </c>
      <c r="D195" s="14" t="s">
        <v>832</v>
      </c>
      <c r="E195" s="19" t="s">
        <v>892</v>
      </c>
      <c r="F195" s="20" t="s">
        <v>100</v>
      </c>
      <c r="G195" s="82" t="s">
        <v>870</v>
      </c>
      <c r="H195" s="20" t="s">
        <v>99</v>
      </c>
      <c r="I195" s="20" t="s">
        <v>88</v>
      </c>
      <c r="J195" s="20" t="s">
        <v>89</v>
      </c>
      <c r="K195" s="20" t="s">
        <v>179</v>
      </c>
      <c r="L195" s="43"/>
      <c r="M195" s="105" t="s">
        <v>388</v>
      </c>
      <c r="N195" s="40"/>
    </row>
    <row r="196" spans="2:14" ht="105" x14ac:dyDescent="0.25">
      <c r="B196" s="20">
        <v>24</v>
      </c>
      <c r="C196" s="111">
        <v>46003</v>
      </c>
      <c r="D196" s="14" t="s">
        <v>832</v>
      </c>
      <c r="E196" s="19" t="s">
        <v>893</v>
      </c>
      <c r="F196" s="20" t="s">
        <v>100</v>
      </c>
      <c r="G196" s="82" t="s">
        <v>871</v>
      </c>
      <c r="H196" s="20" t="s">
        <v>99</v>
      </c>
      <c r="I196" s="20" t="s">
        <v>88</v>
      </c>
      <c r="J196" s="20" t="s">
        <v>89</v>
      </c>
      <c r="K196" s="20" t="s">
        <v>179</v>
      </c>
      <c r="L196" s="43"/>
      <c r="M196" s="105" t="s">
        <v>388</v>
      </c>
      <c r="N196" s="40"/>
    </row>
    <row r="197" spans="2:14" ht="105" x14ac:dyDescent="0.25">
      <c r="B197" s="20">
        <v>25</v>
      </c>
      <c r="C197" s="111">
        <v>46003</v>
      </c>
      <c r="D197" s="14" t="s">
        <v>832</v>
      </c>
      <c r="E197" s="19" t="s">
        <v>894</v>
      </c>
      <c r="F197" s="20" t="s">
        <v>100</v>
      </c>
      <c r="G197" s="82" t="s">
        <v>872</v>
      </c>
      <c r="H197" s="20" t="s">
        <v>99</v>
      </c>
      <c r="I197" s="20" t="s">
        <v>88</v>
      </c>
      <c r="J197" s="20" t="s">
        <v>89</v>
      </c>
      <c r="K197" s="20" t="s">
        <v>179</v>
      </c>
      <c r="L197" s="43"/>
      <c r="M197" s="105" t="s">
        <v>388</v>
      </c>
      <c r="N197" s="40"/>
    </row>
    <row r="198" spans="2:14" ht="90" x14ac:dyDescent="0.25">
      <c r="B198" s="20">
        <v>26</v>
      </c>
      <c r="C198" s="111">
        <v>46003</v>
      </c>
      <c r="D198" s="14" t="s">
        <v>832</v>
      </c>
      <c r="E198" s="19" t="s">
        <v>895</v>
      </c>
      <c r="F198" s="20" t="s">
        <v>100</v>
      </c>
      <c r="G198" s="82" t="s">
        <v>873</v>
      </c>
      <c r="H198" s="20" t="s">
        <v>99</v>
      </c>
      <c r="I198" s="20" t="s">
        <v>88</v>
      </c>
      <c r="J198" s="20" t="s">
        <v>89</v>
      </c>
      <c r="K198" s="20" t="s">
        <v>179</v>
      </c>
      <c r="L198" s="43"/>
      <c r="M198" s="105" t="s">
        <v>388</v>
      </c>
      <c r="N198" s="40"/>
    </row>
    <row r="199" spans="2:14" ht="105" x14ac:dyDescent="0.25">
      <c r="B199" s="20">
        <v>27</v>
      </c>
      <c r="C199" s="111">
        <v>46003</v>
      </c>
      <c r="D199" s="14" t="s">
        <v>832</v>
      </c>
      <c r="E199" s="19" t="s">
        <v>896</v>
      </c>
      <c r="F199" s="20" t="s">
        <v>100</v>
      </c>
      <c r="G199" s="82" t="s">
        <v>874</v>
      </c>
      <c r="H199" s="20" t="s">
        <v>99</v>
      </c>
      <c r="I199" s="20" t="s">
        <v>88</v>
      </c>
      <c r="J199" s="20" t="s">
        <v>89</v>
      </c>
      <c r="K199" s="20" t="s">
        <v>179</v>
      </c>
      <c r="L199" s="43"/>
      <c r="M199" s="105" t="s">
        <v>388</v>
      </c>
      <c r="N199" s="40"/>
    </row>
    <row r="200" spans="2:14" ht="150" x14ac:dyDescent="0.25">
      <c r="B200" s="20">
        <v>28</v>
      </c>
      <c r="C200" s="111">
        <v>46003</v>
      </c>
      <c r="D200" s="14" t="s">
        <v>832</v>
      </c>
      <c r="E200" s="19" t="s">
        <v>897</v>
      </c>
      <c r="F200" s="20" t="s">
        <v>100</v>
      </c>
      <c r="G200" s="143" t="s">
        <v>875</v>
      </c>
      <c r="H200" s="20" t="s">
        <v>99</v>
      </c>
      <c r="I200" s="20" t="s">
        <v>88</v>
      </c>
      <c r="J200" s="20" t="s">
        <v>89</v>
      </c>
      <c r="K200" s="20" t="s">
        <v>179</v>
      </c>
      <c r="L200" s="43"/>
      <c r="M200" s="105" t="s">
        <v>388</v>
      </c>
      <c r="N200" s="40"/>
    </row>
    <row r="201" spans="2:14" ht="135" x14ac:dyDescent="0.25">
      <c r="B201" s="20">
        <v>29</v>
      </c>
      <c r="C201" s="111">
        <v>46003</v>
      </c>
      <c r="D201" s="14" t="s">
        <v>832</v>
      </c>
      <c r="E201" s="19" t="s">
        <v>898</v>
      </c>
      <c r="F201" s="20" t="s">
        <v>100</v>
      </c>
      <c r="G201" s="143" t="s">
        <v>876</v>
      </c>
      <c r="H201" s="20" t="s">
        <v>99</v>
      </c>
      <c r="I201" s="20" t="s">
        <v>88</v>
      </c>
      <c r="J201" s="20" t="s">
        <v>89</v>
      </c>
      <c r="K201" s="20" t="s">
        <v>179</v>
      </c>
      <c r="L201" s="43"/>
      <c r="M201" s="105" t="s">
        <v>388</v>
      </c>
      <c r="N201" s="40"/>
    </row>
    <row r="202" spans="2:14" ht="90" x14ac:dyDescent="0.25">
      <c r="B202" s="20">
        <v>30</v>
      </c>
      <c r="C202" s="111"/>
      <c r="D202" s="14" t="s">
        <v>832</v>
      </c>
      <c r="E202" s="19" t="s">
        <v>899</v>
      </c>
      <c r="F202" s="20" t="s">
        <v>100</v>
      </c>
      <c r="G202" s="143" t="s">
        <v>877</v>
      </c>
      <c r="H202" s="20" t="s">
        <v>99</v>
      </c>
      <c r="I202" s="20" t="s">
        <v>88</v>
      </c>
      <c r="J202" s="20" t="s">
        <v>89</v>
      </c>
      <c r="K202" s="20" t="s">
        <v>179</v>
      </c>
      <c r="L202" s="43"/>
      <c r="M202" s="105" t="s">
        <v>388</v>
      </c>
      <c r="N202" s="40"/>
    </row>
    <row r="203" spans="2:14" ht="105" x14ac:dyDescent="0.25">
      <c r="B203" s="20">
        <v>31</v>
      </c>
      <c r="C203" s="111">
        <v>46003</v>
      </c>
      <c r="D203" s="14" t="s">
        <v>832</v>
      </c>
      <c r="E203" s="19" t="s">
        <v>900</v>
      </c>
      <c r="F203" s="20" t="s">
        <v>100</v>
      </c>
      <c r="G203" s="143" t="s">
        <v>878</v>
      </c>
      <c r="H203" s="20" t="s">
        <v>99</v>
      </c>
      <c r="I203" s="20" t="s">
        <v>88</v>
      </c>
      <c r="J203" s="20" t="s">
        <v>89</v>
      </c>
      <c r="K203" s="20" t="s">
        <v>179</v>
      </c>
      <c r="L203" s="43"/>
      <c r="M203" s="105" t="s">
        <v>388</v>
      </c>
      <c r="N203" s="40"/>
    </row>
    <row r="204" spans="2:14" ht="120" x14ac:dyDescent="0.25">
      <c r="B204" s="20">
        <v>32</v>
      </c>
      <c r="C204" s="111">
        <v>46003</v>
      </c>
      <c r="D204" s="14" t="s">
        <v>832</v>
      </c>
      <c r="E204" s="19" t="s">
        <v>901</v>
      </c>
      <c r="F204" s="20" t="s">
        <v>100</v>
      </c>
      <c r="G204" s="143" t="s">
        <v>879</v>
      </c>
      <c r="H204" s="20" t="s">
        <v>99</v>
      </c>
      <c r="I204" s="20" t="s">
        <v>88</v>
      </c>
      <c r="J204" s="20" t="s">
        <v>89</v>
      </c>
      <c r="K204" s="20" t="s">
        <v>179</v>
      </c>
      <c r="L204" s="43"/>
      <c r="M204" s="105" t="s">
        <v>388</v>
      </c>
      <c r="N204" s="40"/>
    </row>
    <row r="205" spans="2:14" ht="75" x14ac:dyDescent="0.25">
      <c r="B205" s="20">
        <v>33</v>
      </c>
      <c r="C205" s="111">
        <v>46003</v>
      </c>
      <c r="D205" s="14" t="s">
        <v>832</v>
      </c>
      <c r="E205" s="19" t="s">
        <v>902</v>
      </c>
      <c r="F205" s="20" t="s">
        <v>100</v>
      </c>
      <c r="G205" s="143" t="s">
        <v>880</v>
      </c>
      <c r="H205" s="20" t="s">
        <v>99</v>
      </c>
      <c r="I205" s="20" t="s">
        <v>88</v>
      </c>
      <c r="J205" s="20" t="s">
        <v>89</v>
      </c>
      <c r="K205" s="20" t="s">
        <v>179</v>
      </c>
      <c r="L205" s="43"/>
      <c r="M205" s="105" t="s">
        <v>388</v>
      </c>
      <c r="N205" s="40"/>
    </row>
    <row r="206" spans="2:14" ht="120" x14ac:dyDescent="0.25">
      <c r="B206" s="20">
        <v>34</v>
      </c>
      <c r="C206" s="111">
        <v>46003</v>
      </c>
      <c r="D206" s="14" t="s">
        <v>832</v>
      </c>
      <c r="E206" s="19" t="s">
        <v>903</v>
      </c>
      <c r="F206" s="20" t="s">
        <v>100</v>
      </c>
      <c r="G206" s="143" t="s">
        <v>881</v>
      </c>
      <c r="H206" s="20" t="s">
        <v>99</v>
      </c>
      <c r="I206" s="20" t="s">
        <v>88</v>
      </c>
      <c r="J206" s="20" t="s">
        <v>89</v>
      </c>
      <c r="K206" s="20" t="s">
        <v>179</v>
      </c>
      <c r="L206" s="43"/>
      <c r="M206" s="105" t="s">
        <v>388</v>
      </c>
      <c r="N206" s="40"/>
    </row>
    <row r="207" spans="2:14" ht="75" x14ac:dyDescent="0.25">
      <c r="B207" s="20">
        <v>35</v>
      </c>
      <c r="C207" s="111">
        <v>46003</v>
      </c>
      <c r="D207" s="14" t="s">
        <v>832</v>
      </c>
      <c r="E207" s="19" t="s">
        <v>904</v>
      </c>
      <c r="F207" s="20" t="s">
        <v>100</v>
      </c>
      <c r="G207" s="143" t="s">
        <v>882</v>
      </c>
      <c r="H207" s="20" t="s">
        <v>99</v>
      </c>
      <c r="I207" s="20" t="s">
        <v>88</v>
      </c>
      <c r="J207" s="20" t="s">
        <v>89</v>
      </c>
      <c r="K207" s="20" t="s">
        <v>179</v>
      </c>
      <c r="L207" s="43"/>
      <c r="M207" s="105" t="s">
        <v>388</v>
      </c>
      <c r="N207" s="40"/>
    </row>
    <row r="208" spans="2:14" ht="120" x14ac:dyDescent="0.25">
      <c r="B208" s="20">
        <v>36</v>
      </c>
      <c r="C208" s="111">
        <v>46003</v>
      </c>
      <c r="D208" s="14" t="s">
        <v>832</v>
      </c>
      <c r="E208" s="19" t="s">
        <v>905</v>
      </c>
      <c r="F208" s="20" t="s">
        <v>100</v>
      </c>
      <c r="G208" s="143" t="s">
        <v>883</v>
      </c>
      <c r="H208" s="20" t="s">
        <v>99</v>
      </c>
      <c r="I208" s="20" t="s">
        <v>88</v>
      </c>
      <c r="J208" s="20" t="s">
        <v>89</v>
      </c>
      <c r="K208" s="20" t="s">
        <v>179</v>
      </c>
      <c r="L208" s="43"/>
      <c r="M208" s="105" t="s">
        <v>388</v>
      </c>
      <c r="N208" s="40"/>
    </row>
    <row r="209" spans="2:14" ht="120" x14ac:dyDescent="0.25">
      <c r="B209" s="20">
        <v>37</v>
      </c>
      <c r="C209" s="111">
        <v>46003</v>
      </c>
      <c r="D209" s="14" t="s">
        <v>832</v>
      </c>
      <c r="E209" s="19" t="s">
        <v>906</v>
      </c>
      <c r="F209" s="20" t="s">
        <v>100</v>
      </c>
      <c r="G209" s="143" t="s">
        <v>884</v>
      </c>
      <c r="H209" s="20" t="s">
        <v>99</v>
      </c>
      <c r="I209" s="20" t="s">
        <v>88</v>
      </c>
      <c r="J209" s="20" t="s">
        <v>89</v>
      </c>
      <c r="K209" s="20" t="s">
        <v>179</v>
      </c>
      <c r="L209" s="40"/>
      <c r="M209" s="105" t="s">
        <v>388</v>
      </c>
      <c r="N209" s="40"/>
    </row>
    <row r="210" spans="2:14" ht="150" x14ac:dyDescent="0.25">
      <c r="B210" s="20">
        <v>38</v>
      </c>
      <c r="C210" s="111">
        <v>46003</v>
      </c>
      <c r="D210" s="14" t="s">
        <v>832</v>
      </c>
      <c r="E210" s="19" t="s">
        <v>907</v>
      </c>
      <c r="F210" s="20" t="s">
        <v>100</v>
      </c>
      <c r="G210" s="143" t="s">
        <v>885</v>
      </c>
      <c r="H210" s="20" t="s">
        <v>99</v>
      </c>
      <c r="I210" s="20" t="s">
        <v>88</v>
      </c>
      <c r="J210" s="20" t="s">
        <v>89</v>
      </c>
      <c r="K210" s="20" t="s">
        <v>179</v>
      </c>
      <c r="L210" s="40"/>
      <c r="M210" s="105" t="s">
        <v>388</v>
      </c>
      <c r="N210" s="40"/>
    </row>
    <row r="211" spans="2:14" ht="105" x14ac:dyDescent="0.25">
      <c r="B211" s="20">
        <v>39</v>
      </c>
      <c r="C211" s="111">
        <v>46003</v>
      </c>
      <c r="D211" s="14" t="s">
        <v>832</v>
      </c>
      <c r="E211" s="19" t="s">
        <v>908</v>
      </c>
      <c r="F211" s="20" t="s">
        <v>100</v>
      </c>
      <c r="G211" s="143" t="s">
        <v>886</v>
      </c>
      <c r="H211" s="20" t="s">
        <v>99</v>
      </c>
      <c r="I211" s="20" t="s">
        <v>88</v>
      </c>
      <c r="J211" s="20" t="s">
        <v>89</v>
      </c>
      <c r="K211" s="20" t="s">
        <v>179</v>
      </c>
      <c r="L211" s="40"/>
      <c r="M211" s="105" t="s">
        <v>388</v>
      </c>
      <c r="N211" s="40"/>
    </row>
    <row r="212" spans="2:14" ht="75" x14ac:dyDescent="0.25">
      <c r="B212" s="20">
        <v>40</v>
      </c>
      <c r="C212" s="111">
        <v>46003</v>
      </c>
      <c r="D212" s="14" t="s">
        <v>832</v>
      </c>
      <c r="E212" s="19" t="s">
        <v>909</v>
      </c>
      <c r="F212" s="20" t="s">
        <v>100</v>
      </c>
      <c r="G212" s="143" t="s">
        <v>887</v>
      </c>
      <c r="H212" s="20" t="s">
        <v>99</v>
      </c>
      <c r="I212" s="20" t="s">
        <v>88</v>
      </c>
      <c r="J212" s="20" t="s">
        <v>89</v>
      </c>
      <c r="K212" s="20" t="s">
        <v>179</v>
      </c>
      <c r="L212" s="40"/>
      <c r="M212" s="105" t="s">
        <v>388</v>
      </c>
      <c r="N212" s="40"/>
    </row>
    <row r="213" spans="2:14" x14ac:dyDescent="0.25">
      <c r="B213" s="43"/>
      <c r="C213" s="18"/>
      <c r="D213" s="17"/>
      <c r="E213" s="43"/>
      <c r="F213" s="20"/>
      <c r="G213" s="43"/>
      <c r="H213" s="43"/>
      <c r="I213" s="17"/>
      <c r="J213" s="43"/>
      <c r="K213" s="40"/>
      <c r="L213" s="40"/>
      <c r="M213" s="43"/>
      <c r="N213" s="40"/>
    </row>
    <row r="214" spans="2:14" x14ac:dyDescent="0.25">
      <c r="B214" s="43"/>
      <c r="C214" s="18"/>
      <c r="D214" s="17"/>
      <c r="E214" s="43"/>
      <c r="F214" s="20"/>
      <c r="G214" s="43"/>
      <c r="H214" s="43"/>
      <c r="I214" s="17"/>
      <c r="J214" s="43"/>
      <c r="K214" s="40"/>
      <c r="L214" s="40"/>
      <c r="M214" s="43"/>
      <c r="N214" s="40"/>
    </row>
    <row r="215" spans="2:14" x14ac:dyDescent="0.25">
      <c r="B215" s="43"/>
      <c r="C215" s="18"/>
      <c r="D215" s="17"/>
      <c r="E215" s="43"/>
      <c r="F215" s="20"/>
      <c r="G215" s="43"/>
      <c r="H215" s="43"/>
      <c r="I215" s="17"/>
      <c r="J215" s="43"/>
      <c r="K215" s="40"/>
      <c r="L215" s="40"/>
      <c r="M215" s="43"/>
      <c r="N215" s="40"/>
    </row>
    <row r="216" spans="2:14" x14ac:dyDescent="0.25">
      <c r="B216" s="43"/>
      <c r="C216" s="18"/>
      <c r="D216" s="17"/>
      <c r="E216" s="43"/>
      <c r="F216" s="20"/>
      <c r="G216" s="43"/>
      <c r="H216" s="43"/>
      <c r="I216" s="17"/>
      <c r="J216" s="43"/>
      <c r="K216" s="40"/>
      <c r="L216" s="40"/>
      <c r="M216" s="43"/>
      <c r="N216" s="40"/>
    </row>
    <row r="217" spans="2:14" x14ac:dyDescent="0.25">
      <c r="B217" s="43"/>
      <c r="C217" s="18"/>
      <c r="D217" s="17"/>
      <c r="E217" s="43"/>
      <c r="F217" s="20"/>
      <c r="G217" s="43"/>
      <c r="H217" s="43"/>
      <c r="I217" s="17"/>
      <c r="J217" s="43"/>
      <c r="K217" s="40"/>
      <c r="L217" s="40"/>
      <c r="M217" s="43"/>
      <c r="N217" s="40"/>
    </row>
    <row r="218" spans="2:14" x14ac:dyDescent="0.25">
      <c r="B218" s="43"/>
      <c r="C218" s="18"/>
      <c r="D218" s="17"/>
      <c r="E218" s="43"/>
      <c r="F218" s="20"/>
      <c r="G218" s="43"/>
      <c r="H218" s="43"/>
      <c r="I218" s="17"/>
      <c r="J218" s="43"/>
      <c r="K218" s="40"/>
      <c r="L218" s="40"/>
      <c r="M218" s="43"/>
      <c r="N218" s="40"/>
    </row>
    <row r="219" spans="2:14" x14ac:dyDescent="0.25">
      <c r="B219" s="43"/>
      <c r="C219" s="18"/>
      <c r="D219" s="17"/>
      <c r="E219" s="43"/>
      <c r="F219" s="20"/>
      <c r="G219" s="43"/>
      <c r="H219" s="43"/>
      <c r="I219" s="17"/>
      <c r="J219" s="43"/>
      <c r="K219" s="40"/>
      <c r="L219" s="40"/>
      <c r="M219" s="43"/>
      <c r="N219" s="40"/>
    </row>
    <row r="220" spans="2:14" x14ac:dyDescent="0.25">
      <c r="B220" s="43"/>
      <c r="C220" s="18"/>
      <c r="D220" s="17"/>
      <c r="E220" s="43"/>
      <c r="F220" s="20"/>
      <c r="G220" s="43"/>
      <c r="H220" s="43"/>
      <c r="I220" s="17"/>
      <c r="J220" s="43"/>
      <c r="K220" s="40"/>
      <c r="L220" s="40"/>
      <c r="M220" s="43"/>
      <c r="N220" s="40"/>
    </row>
    <row r="221" spans="2:14" x14ac:dyDescent="0.25">
      <c r="B221" s="43"/>
      <c r="C221" s="18"/>
      <c r="D221" s="17"/>
      <c r="E221" s="43"/>
      <c r="F221" s="20"/>
      <c r="G221" s="43"/>
      <c r="H221" s="43"/>
      <c r="I221" s="17"/>
      <c r="J221" s="43"/>
      <c r="K221" s="40"/>
      <c r="L221" s="40"/>
      <c r="M221" s="43"/>
      <c r="N221" s="40"/>
    </row>
    <row r="222" spans="2:14" x14ac:dyDescent="0.25">
      <c r="B222" s="43"/>
      <c r="C222" s="18"/>
      <c r="D222" s="17"/>
      <c r="E222" s="43"/>
      <c r="F222" s="20"/>
      <c r="G222" s="43"/>
      <c r="H222" s="43"/>
      <c r="I222" s="17"/>
      <c r="J222" s="43"/>
      <c r="K222" s="40"/>
      <c r="L222" s="40"/>
      <c r="M222" s="43"/>
      <c r="N222" s="40"/>
    </row>
    <row r="223" spans="2:14" x14ac:dyDescent="0.25">
      <c r="B223" s="43"/>
      <c r="C223" s="18"/>
      <c r="D223" s="17"/>
      <c r="E223" s="43"/>
      <c r="F223" s="20"/>
      <c r="G223" s="43"/>
      <c r="H223" s="43"/>
      <c r="I223" s="17"/>
      <c r="J223" s="43"/>
      <c r="K223" s="40"/>
      <c r="L223" s="40"/>
      <c r="M223" s="43"/>
      <c r="N223" s="40"/>
    </row>
    <row r="224" spans="2:14" x14ac:dyDescent="0.25">
      <c r="B224" s="43"/>
      <c r="C224" s="18"/>
      <c r="D224" s="17"/>
      <c r="E224" s="43"/>
      <c r="F224" s="20"/>
      <c r="G224" s="43"/>
      <c r="H224" s="43"/>
      <c r="I224" s="17"/>
      <c r="J224" s="43"/>
      <c r="K224" s="40"/>
      <c r="L224" s="40"/>
      <c r="M224" s="43"/>
      <c r="N224" s="40"/>
    </row>
    <row r="225" spans="2:14" x14ac:dyDescent="0.25">
      <c r="B225" s="43"/>
      <c r="C225" s="18"/>
      <c r="D225" s="17"/>
      <c r="E225" s="43"/>
      <c r="F225" s="20"/>
      <c r="G225" s="43"/>
      <c r="H225" s="43"/>
      <c r="I225" s="17"/>
      <c r="J225" s="43"/>
      <c r="K225" s="40"/>
      <c r="L225" s="40"/>
      <c r="M225" s="43"/>
      <c r="N225" s="40"/>
    </row>
    <row r="226" spans="2:14" x14ac:dyDescent="0.25">
      <c r="B226" s="43"/>
      <c r="C226" s="18"/>
      <c r="D226" s="17"/>
      <c r="E226" s="43"/>
      <c r="F226" s="20"/>
      <c r="G226" s="43"/>
      <c r="H226" s="43"/>
      <c r="I226" s="17"/>
      <c r="J226" s="43"/>
      <c r="K226" s="40"/>
      <c r="L226" s="40"/>
      <c r="M226" s="43"/>
      <c r="N226" s="40"/>
    </row>
    <row r="227" spans="2:14" x14ac:dyDescent="0.25">
      <c r="B227" s="43"/>
      <c r="C227" s="18"/>
      <c r="D227" s="17"/>
      <c r="E227" s="43"/>
      <c r="F227" s="20"/>
      <c r="G227" s="43"/>
      <c r="H227" s="43"/>
      <c r="I227" s="17"/>
      <c r="J227" s="43"/>
      <c r="K227" s="40"/>
      <c r="L227" s="40"/>
      <c r="M227" s="43"/>
      <c r="N227" s="40"/>
    </row>
    <row r="228" spans="2:14" x14ac:dyDescent="0.25">
      <c r="B228" s="43"/>
      <c r="C228" s="18"/>
      <c r="D228" s="17"/>
      <c r="E228" s="43"/>
      <c r="F228" s="20"/>
      <c r="G228" s="43"/>
      <c r="H228" s="43"/>
      <c r="I228" s="17"/>
      <c r="J228" s="43"/>
      <c r="K228" s="40"/>
      <c r="L228" s="40"/>
      <c r="M228" s="43"/>
      <c r="N228" s="40"/>
    </row>
    <row r="229" spans="2:14" x14ac:dyDescent="0.25">
      <c r="B229" s="43"/>
      <c r="C229" s="18"/>
      <c r="D229" s="17"/>
      <c r="E229" s="43"/>
      <c r="F229" s="20"/>
      <c r="G229" s="43"/>
      <c r="H229" s="43"/>
      <c r="I229" s="17"/>
      <c r="J229" s="43"/>
      <c r="K229" s="40"/>
      <c r="L229" s="40"/>
      <c r="M229" s="43"/>
      <c r="N229" s="40"/>
    </row>
    <row r="230" spans="2:14" x14ac:dyDescent="0.25">
      <c r="B230" s="43"/>
      <c r="C230" s="18"/>
      <c r="D230" s="17"/>
      <c r="E230" s="43"/>
      <c r="F230" s="20"/>
      <c r="G230" s="43"/>
      <c r="H230" s="43"/>
      <c r="I230" s="17"/>
      <c r="J230" s="43"/>
      <c r="K230" s="40"/>
      <c r="L230" s="40"/>
      <c r="M230" s="43"/>
      <c r="N230" s="40"/>
    </row>
  </sheetData>
  <autoFilter ref="F4:F212"/>
  <mergeCells count="13">
    <mergeCell ref="H3:H4"/>
    <mergeCell ref="I3:J3"/>
    <mergeCell ref="B1:F2"/>
    <mergeCell ref="B3:B4"/>
    <mergeCell ref="C3:C4"/>
    <mergeCell ref="G3:G4"/>
    <mergeCell ref="G1:J2"/>
    <mergeCell ref="D3:F3"/>
    <mergeCell ref="K1:N2"/>
    <mergeCell ref="K3:K4"/>
    <mergeCell ref="L3:L4"/>
    <mergeCell ref="M3:M4"/>
    <mergeCell ref="N3:N4"/>
  </mergeCells>
  <phoneticPr fontId="22" type="noConversion"/>
  <pageMargins left="0" right="0" top="0" bottom="0" header="0.3" footer="0.3"/>
  <pageSetup scale="59" fitToHeight="0"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91"/>
  <sheetViews>
    <sheetView topLeftCell="A34" zoomScale="97" zoomScaleNormal="97" workbookViewId="0">
      <selection activeCell="H12" sqref="H12"/>
    </sheetView>
  </sheetViews>
  <sheetFormatPr defaultRowHeight="15.75" x14ac:dyDescent="0.25"/>
  <cols>
    <col min="1" max="1" width="3" customWidth="1"/>
    <col min="2" max="2" width="5.5703125" style="13" customWidth="1"/>
    <col min="3" max="3" width="12.140625" style="13" customWidth="1"/>
    <col min="4" max="4" width="13.5703125" style="13" bestFit="1" customWidth="1"/>
    <col min="5" max="5" width="12.5703125" style="13" bestFit="1" customWidth="1"/>
    <col min="6" max="6" width="17.7109375" style="13" customWidth="1"/>
    <col min="7" max="7" width="18.85546875" style="13" customWidth="1"/>
    <col min="8" max="8" width="28.42578125" style="13" customWidth="1"/>
    <col min="9" max="9" width="32.42578125" style="13" customWidth="1"/>
    <col min="10" max="11" width="9.85546875" style="13" customWidth="1"/>
    <col min="12" max="12" width="13" style="13" customWidth="1"/>
    <col min="13" max="13" width="18.85546875" style="13" customWidth="1"/>
    <col min="14" max="14" width="10.28515625" style="13" customWidth="1"/>
    <col min="15" max="15" width="12.85546875" style="13" customWidth="1"/>
    <col min="16" max="16" width="33.5703125" style="13" customWidth="1"/>
    <col min="17" max="17" width="23.7109375" customWidth="1"/>
    <col min="18" max="18" width="33.85546875" customWidth="1"/>
    <col min="19" max="19" width="28.140625" customWidth="1"/>
    <col min="20" max="20" width="42.42578125" customWidth="1"/>
    <col min="21" max="21" width="11.140625" customWidth="1"/>
    <col min="22" max="22" width="6" customWidth="1"/>
    <col min="23" max="23" width="8.5703125" customWidth="1"/>
    <col min="24" max="24" width="7.140625" customWidth="1"/>
    <col min="25" max="25" width="29.7109375" customWidth="1"/>
  </cols>
  <sheetData>
    <row r="1" spans="2:17" ht="63" customHeight="1" x14ac:dyDescent="0.25">
      <c r="B1" s="254"/>
      <c r="C1" s="255"/>
      <c r="D1" s="255"/>
      <c r="E1" s="255"/>
      <c r="F1" s="256"/>
      <c r="G1" s="260" t="s">
        <v>120</v>
      </c>
      <c r="H1" s="261"/>
      <c r="I1" s="261"/>
      <c r="J1" s="261"/>
      <c r="K1" s="261"/>
      <c r="L1" s="262"/>
      <c r="M1" s="266" t="s">
        <v>35</v>
      </c>
      <c r="N1" s="267"/>
      <c r="O1" s="267"/>
      <c r="P1" s="268"/>
    </row>
    <row r="2" spans="2:17" ht="25.5" customHeight="1" thickBot="1" x14ac:dyDescent="0.3">
      <c r="B2" s="257"/>
      <c r="C2" s="258"/>
      <c r="D2" s="258"/>
      <c r="E2" s="258"/>
      <c r="F2" s="259"/>
      <c r="G2" s="263"/>
      <c r="H2" s="264"/>
      <c r="I2" s="264"/>
      <c r="J2" s="264"/>
      <c r="K2" s="264"/>
      <c r="L2" s="265"/>
      <c r="M2" s="269"/>
      <c r="N2" s="270"/>
      <c r="O2" s="270"/>
      <c r="P2" s="271"/>
    </row>
    <row r="3" spans="2:17" ht="45" customHeight="1" thickBot="1" x14ac:dyDescent="0.3">
      <c r="B3" s="252" t="s">
        <v>36</v>
      </c>
      <c r="C3" s="250" t="s">
        <v>49</v>
      </c>
      <c r="D3" s="272" t="s">
        <v>50</v>
      </c>
      <c r="E3" s="273"/>
      <c r="F3" s="273"/>
      <c r="G3" s="274"/>
      <c r="H3" s="250" t="s">
        <v>39</v>
      </c>
      <c r="I3" s="250" t="s">
        <v>51</v>
      </c>
      <c r="J3" s="250" t="s">
        <v>40</v>
      </c>
      <c r="K3" s="275" t="s">
        <v>24</v>
      </c>
      <c r="L3" s="276"/>
      <c r="M3" s="250" t="s">
        <v>41</v>
      </c>
      <c r="N3" s="250" t="s">
        <v>33</v>
      </c>
      <c r="O3" s="250" t="s">
        <v>52</v>
      </c>
      <c r="P3" s="252" t="s">
        <v>9</v>
      </c>
    </row>
    <row r="4" spans="2:17" ht="102.75" customHeight="1" thickBot="1" x14ac:dyDescent="0.3">
      <c r="B4" s="253"/>
      <c r="C4" s="251"/>
      <c r="D4" s="21" t="s">
        <v>44</v>
      </c>
      <c r="E4" s="21" t="s">
        <v>45</v>
      </c>
      <c r="F4" s="21" t="s">
        <v>53</v>
      </c>
      <c r="G4" s="23" t="s">
        <v>54</v>
      </c>
      <c r="H4" s="251"/>
      <c r="I4" s="251"/>
      <c r="J4" s="251"/>
      <c r="K4" s="21" t="s">
        <v>47</v>
      </c>
      <c r="L4" s="90" t="s">
        <v>48</v>
      </c>
      <c r="M4" s="251"/>
      <c r="N4" s="251"/>
      <c r="O4" s="251"/>
      <c r="P4" s="253"/>
    </row>
    <row r="5" spans="2:17" ht="106.5" customHeight="1" x14ac:dyDescent="0.25">
      <c r="B5" s="24">
        <v>1</v>
      </c>
      <c r="C5" s="113">
        <v>45679</v>
      </c>
      <c r="D5" s="24" t="s">
        <v>565</v>
      </c>
      <c r="E5" s="25" t="s">
        <v>556</v>
      </c>
      <c r="F5" s="20" t="s">
        <v>100</v>
      </c>
      <c r="G5" s="25" t="s">
        <v>522</v>
      </c>
      <c r="H5" s="106" t="s">
        <v>104</v>
      </c>
      <c r="I5" s="26" t="s">
        <v>113</v>
      </c>
      <c r="J5" s="27" t="s">
        <v>109</v>
      </c>
      <c r="K5" s="73" t="s">
        <v>106</v>
      </c>
      <c r="L5" s="24" t="s">
        <v>106</v>
      </c>
      <c r="M5" s="26" t="s">
        <v>118</v>
      </c>
      <c r="N5" s="14" t="s">
        <v>112</v>
      </c>
      <c r="O5" s="28" t="s">
        <v>110</v>
      </c>
      <c r="P5" s="31" t="s">
        <v>119</v>
      </c>
      <c r="Q5" s="31"/>
    </row>
    <row r="6" spans="2:17" ht="123" customHeight="1" x14ac:dyDescent="0.25">
      <c r="B6" s="24">
        <v>2</v>
      </c>
      <c r="C6" s="113">
        <v>45706</v>
      </c>
      <c r="D6" s="24" t="s">
        <v>524</v>
      </c>
      <c r="E6" s="25" t="s">
        <v>557</v>
      </c>
      <c r="F6" s="20" t="s">
        <v>100</v>
      </c>
      <c r="G6" s="106" t="s">
        <v>525</v>
      </c>
      <c r="H6" s="106" t="s">
        <v>542</v>
      </c>
      <c r="I6" s="26" t="s">
        <v>543</v>
      </c>
      <c r="J6" s="27" t="s">
        <v>109</v>
      </c>
      <c r="K6" s="73" t="s">
        <v>106</v>
      </c>
      <c r="L6" s="24" t="s">
        <v>106</v>
      </c>
      <c r="M6" s="26" t="s">
        <v>544</v>
      </c>
      <c r="N6" s="14" t="s">
        <v>527</v>
      </c>
      <c r="O6" s="102" t="s">
        <v>110</v>
      </c>
      <c r="P6" s="31" t="s">
        <v>534</v>
      </c>
      <c r="Q6" s="154"/>
    </row>
    <row r="7" spans="2:17" ht="106.5" customHeight="1" x14ac:dyDescent="0.25">
      <c r="B7" s="24">
        <v>3</v>
      </c>
      <c r="C7" s="113">
        <v>45706</v>
      </c>
      <c r="D7" s="24" t="s">
        <v>524</v>
      </c>
      <c r="E7" s="25" t="s">
        <v>566</v>
      </c>
      <c r="F7" s="20" t="s">
        <v>100</v>
      </c>
      <c r="G7" s="25" t="s">
        <v>531</v>
      </c>
      <c r="H7" s="106" t="s">
        <v>532</v>
      </c>
      <c r="I7" s="26" t="s">
        <v>533</v>
      </c>
      <c r="J7" s="27" t="s">
        <v>109</v>
      </c>
      <c r="K7" s="73" t="s">
        <v>106</v>
      </c>
      <c r="L7" s="24" t="s">
        <v>106</v>
      </c>
      <c r="M7" s="26" t="s">
        <v>179</v>
      </c>
      <c r="N7" s="14" t="s">
        <v>527</v>
      </c>
      <c r="O7" s="102" t="s">
        <v>110</v>
      </c>
      <c r="P7" s="31" t="s">
        <v>534</v>
      </c>
      <c r="Q7" s="154"/>
    </row>
    <row r="8" spans="2:17" ht="106.5" customHeight="1" x14ac:dyDescent="0.25">
      <c r="B8" s="24">
        <v>4</v>
      </c>
      <c r="C8" s="113">
        <v>45706</v>
      </c>
      <c r="D8" s="24" t="s">
        <v>524</v>
      </c>
      <c r="E8" s="25" t="s">
        <v>567</v>
      </c>
      <c r="F8" s="20" t="s">
        <v>100</v>
      </c>
      <c r="G8" s="25" t="s">
        <v>535</v>
      </c>
      <c r="H8" s="106" t="s">
        <v>536</v>
      </c>
      <c r="I8" s="141" t="s">
        <v>537</v>
      </c>
      <c r="J8" s="27" t="s">
        <v>109</v>
      </c>
      <c r="K8" s="73" t="s">
        <v>106</v>
      </c>
      <c r="L8" s="24" t="s">
        <v>106</v>
      </c>
      <c r="M8" s="26" t="s">
        <v>179</v>
      </c>
      <c r="N8" s="14" t="s">
        <v>527</v>
      </c>
      <c r="O8" s="102" t="s">
        <v>110</v>
      </c>
      <c r="P8" s="31" t="s">
        <v>534</v>
      </c>
      <c r="Q8" s="154"/>
    </row>
    <row r="9" spans="2:17" ht="106.5" customHeight="1" x14ac:dyDescent="0.25">
      <c r="B9" s="24">
        <v>5</v>
      </c>
      <c r="C9" s="113">
        <v>45706</v>
      </c>
      <c r="D9" s="24" t="s">
        <v>524</v>
      </c>
      <c r="E9" s="25" t="s">
        <v>558</v>
      </c>
      <c r="F9" s="20" t="s">
        <v>100</v>
      </c>
      <c r="G9" s="165" t="s">
        <v>538</v>
      </c>
      <c r="H9" s="106" t="s">
        <v>539</v>
      </c>
      <c r="I9" s="32" t="s">
        <v>540</v>
      </c>
      <c r="J9" s="27" t="s">
        <v>109</v>
      </c>
      <c r="K9" s="73" t="s">
        <v>106</v>
      </c>
      <c r="L9" s="24" t="s">
        <v>106</v>
      </c>
      <c r="M9" s="26" t="s">
        <v>541</v>
      </c>
      <c r="N9" s="14" t="s">
        <v>527</v>
      </c>
      <c r="O9" s="102" t="s">
        <v>110</v>
      </c>
      <c r="P9" s="31" t="s">
        <v>534</v>
      </c>
      <c r="Q9" s="154"/>
    </row>
    <row r="10" spans="2:17" ht="78.75" x14ac:dyDescent="0.25">
      <c r="B10" s="24">
        <v>6</v>
      </c>
      <c r="C10" s="117">
        <v>45716</v>
      </c>
      <c r="D10" s="24" t="s">
        <v>108</v>
      </c>
      <c r="E10" s="25" t="s">
        <v>559</v>
      </c>
      <c r="F10" s="20" t="s">
        <v>100</v>
      </c>
      <c r="G10" s="25" t="s">
        <v>147</v>
      </c>
      <c r="H10" s="14" t="s">
        <v>149</v>
      </c>
      <c r="I10" s="26" t="s">
        <v>148</v>
      </c>
      <c r="J10" s="27" t="s">
        <v>109</v>
      </c>
      <c r="K10" s="73" t="s">
        <v>106</v>
      </c>
      <c r="L10" s="24" t="s">
        <v>106</v>
      </c>
      <c r="M10" s="26" t="s">
        <v>118</v>
      </c>
      <c r="N10" s="14" t="s">
        <v>146</v>
      </c>
      <c r="O10" s="28" t="s">
        <v>110</v>
      </c>
      <c r="P10" s="31" t="s">
        <v>326</v>
      </c>
    </row>
    <row r="11" spans="2:17" ht="165" x14ac:dyDescent="0.25">
      <c r="B11" s="24">
        <v>7</v>
      </c>
      <c r="C11" s="117">
        <v>45740</v>
      </c>
      <c r="D11" s="24" t="s">
        <v>589</v>
      </c>
      <c r="E11" s="25" t="s">
        <v>627</v>
      </c>
      <c r="F11" s="20" t="s">
        <v>588</v>
      </c>
      <c r="G11" s="162" t="s">
        <v>592</v>
      </c>
      <c r="H11" s="82" t="s">
        <v>590</v>
      </c>
      <c r="I11" s="163" t="s">
        <v>591</v>
      </c>
      <c r="J11" s="27" t="s">
        <v>109</v>
      </c>
      <c r="K11" s="73" t="s">
        <v>195</v>
      </c>
      <c r="L11" s="24" t="s">
        <v>157</v>
      </c>
      <c r="M11" s="126" t="s">
        <v>96</v>
      </c>
      <c r="N11" s="14"/>
      <c r="O11" s="28" t="s">
        <v>110</v>
      </c>
      <c r="P11" s="31"/>
    </row>
    <row r="12" spans="2:17" ht="94.5" x14ac:dyDescent="0.25">
      <c r="B12" s="24">
        <v>8</v>
      </c>
      <c r="C12" s="117">
        <v>45795</v>
      </c>
      <c r="D12" s="29" t="s">
        <v>583</v>
      </c>
      <c r="E12" s="25" t="s">
        <v>626</v>
      </c>
      <c r="F12" s="20" t="s">
        <v>100</v>
      </c>
      <c r="G12" s="30" t="s">
        <v>339</v>
      </c>
      <c r="H12" s="20" t="s">
        <v>317</v>
      </c>
      <c r="I12" s="18" t="s">
        <v>345</v>
      </c>
      <c r="J12" s="29" t="s">
        <v>109</v>
      </c>
      <c r="K12" s="73" t="s">
        <v>106</v>
      </c>
      <c r="L12" s="24" t="s">
        <v>106</v>
      </c>
      <c r="M12" s="26" t="s">
        <v>118</v>
      </c>
      <c r="N12" s="14" t="s">
        <v>340</v>
      </c>
      <c r="O12" s="102" t="s">
        <v>110</v>
      </c>
      <c r="P12" s="31" t="s">
        <v>326</v>
      </c>
    </row>
    <row r="13" spans="2:17" ht="63" x14ac:dyDescent="0.25">
      <c r="B13" s="24">
        <v>9</v>
      </c>
      <c r="C13" s="81">
        <v>45835</v>
      </c>
      <c r="D13" s="24" t="s">
        <v>565</v>
      </c>
      <c r="E13" s="25" t="s">
        <v>560</v>
      </c>
      <c r="F13" s="20" t="s">
        <v>100</v>
      </c>
      <c r="G13" s="30" t="s">
        <v>341</v>
      </c>
      <c r="H13" s="18" t="s">
        <v>342</v>
      </c>
      <c r="I13" s="30" t="s">
        <v>343</v>
      </c>
      <c r="J13" s="29" t="s">
        <v>109</v>
      </c>
      <c r="K13" s="73" t="s">
        <v>106</v>
      </c>
      <c r="L13" s="24" t="s">
        <v>106</v>
      </c>
      <c r="M13" s="26" t="s">
        <v>118</v>
      </c>
      <c r="N13" s="14" t="s">
        <v>344</v>
      </c>
      <c r="O13" s="102" t="s">
        <v>110</v>
      </c>
      <c r="P13" s="58"/>
    </row>
    <row r="14" spans="2:17" ht="75" x14ac:dyDescent="0.25">
      <c r="B14" s="24">
        <v>10</v>
      </c>
      <c r="C14" s="159">
        <v>45861</v>
      </c>
      <c r="D14" s="29" t="s">
        <v>584</v>
      </c>
      <c r="E14" s="25" t="s">
        <v>629</v>
      </c>
      <c r="F14" s="30" t="s">
        <v>564</v>
      </c>
      <c r="G14" s="44" t="s">
        <v>474</v>
      </c>
      <c r="H14" s="30" t="s">
        <v>568</v>
      </c>
      <c r="I14" s="32" t="s">
        <v>604</v>
      </c>
      <c r="J14" s="29" t="s">
        <v>99</v>
      </c>
      <c r="K14" s="73" t="s">
        <v>88</v>
      </c>
      <c r="L14" s="24" t="s">
        <v>106</v>
      </c>
      <c r="M14" s="152" t="s">
        <v>477</v>
      </c>
      <c r="N14" s="79"/>
      <c r="O14" s="102"/>
      <c r="P14" s="160" t="s">
        <v>585</v>
      </c>
    </row>
    <row r="15" spans="2:17" ht="120" x14ac:dyDescent="0.25">
      <c r="B15" s="24">
        <v>11</v>
      </c>
      <c r="C15" s="117">
        <v>45869</v>
      </c>
      <c r="D15" s="29" t="s">
        <v>611</v>
      </c>
      <c r="E15" s="25" t="s">
        <v>602</v>
      </c>
      <c r="F15" s="20" t="s">
        <v>100</v>
      </c>
      <c r="G15" s="30" t="s">
        <v>596</v>
      </c>
      <c r="H15" s="20" t="s">
        <v>593</v>
      </c>
      <c r="I15" s="18" t="s">
        <v>594</v>
      </c>
      <c r="J15" s="29" t="s">
        <v>109</v>
      </c>
      <c r="K15" s="73" t="s">
        <v>195</v>
      </c>
      <c r="L15" s="24" t="s">
        <v>157</v>
      </c>
      <c r="M15" s="26" t="s">
        <v>319</v>
      </c>
      <c r="N15" s="14"/>
      <c r="O15" s="102" t="s">
        <v>110</v>
      </c>
      <c r="P15" s="14" t="s">
        <v>595</v>
      </c>
    </row>
    <row r="16" spans="2:17" ht="285" x14ac:dyDescent="0.25">
      <c r="B16" s="24">
        <v>12</v>
      </c>
      <c r="C16" s="117">
        <v>45874</v>
      </c>
      <c r="D16" s="24" t="s">
        <v>611</v>
      </c>
      <c r="E16" s="25" t="s">
        <v>628</v>
      </c>
      <c r="F16" s="20" t="s">
        <v>597</v>
      </c>
      <c r="G16" s="150" t="s">
        <v>227</v>
      </c>
      <c r="H16" s="14" t="s">
        <v>598</v>
      </c>
      <c r="I16" s="164" t="s">
        <v>599</v>
      </c>
      <c r="J16" s="27" t="s">
        <v>109</v>
      </c>
      <c r="K16" s="73" t="s">
        <v>195</v>
      </c>
      <c r="L16" s="24" t="s">
        <v>157</v>
      </c>
      <c r="M16" s="18" t="s">
        <v>232</v>
      </c>
      <c r="N16" s="14" t="s">
        <v>600</v>
      </c>
      <c r="O16" s="28" t="s">
        <v>110</v>
      </c>
      <c r="P16" s="19" t="s">
        <v>631</v>
      </c>
    </row>
    <row r="17" spans="2:16" ht="165" x14ac:dyDescent="0.25">
      <c r="B17" s="24">
        <v>13</v>
      </c>
      <c r="C17" s="180">
        <v>45888</v>
      </c>
      <c r="D17" s="29" t="s">
        <v>584</v>
      </c>
      <c r="E17" s="30" t="s">
        <v>655</v>
      </c>
      <c r="F17" s="20" t="s">
        <v>597</v>
      </c>
      <c r="G17" s="46" t="s">
        <v>649</v>
      </c>
      <c r="H17" s="32" t="s">
        <v>660</v>
      </c>
      <c r="I17" s="32" t="s">
        <v>659</v>
      </c>
      <c r="J17" s="29" t="s">
        <v>99</v>
      </c>
      <c r="K17" s="32" t="s">
        <v>656</v>
      </c>
      <c r="L17" s="32" t="s">
        <v>157</v>
      </c>
      <c r="M17" s="26" t="s">
        <v>319</v>
      </c>
      <c r="N17" s="44"/>
      <c r="O17" s="102" t="s">
        <v>657</v>
      </c>
      <c r="P17" s="44"/>
    </row>
    <row r="18" spans="2:16" x14ac:dyDescent="0.25">
      <c r="B18" s="29"/>
      <c r="C18" s="84"/>
      <c r="D18" s="83"/>
      <c r="E18" s="30"/>
      <c r="F18" s="79"/>
      <c r="G18" s="79"/>
      <c r="H18" s="79"/>
      <c r="I18" s="79"/>
      <c r="J18" s="83"/>
      <c r="K18" s="79"/>
      <c r="L18" s="79"/>
      <c r="M18" s="79"/>
      <c r="N18" s="44"/>
      <c r="O18" s="102"/>
      <c r="P18" s="44"/>
    </row>
    <row r="19" spans="2:16" x14ac:dyDescent="0.25">
      <c r="B19" s="29"/>
      <c r="C19" s="84"/>
      <c r="D19" s="83"/>
      <c r="E19" s="30"/>
      <c r="F19" s="79"/>
      <c r="G19" s="79"/>
      <c r="H19" s="79"/>
      <c r="I19" s="79"/>
      <c r="J19" s="83"/>
      <c r="K19" s="79"/>
      <c r="L19" s="79"/>
      <c r="M19" s="79"/>
      <c r="N19" s="44"/>
      <c r="O19" s="102"/>
      <c r="P19" s="44"/>
    </row>
    <row r="20" spans="2:16" ht="15" x14ac:dyDescent="0.25">
      <c r="B20" s="45"/>
      <c r="C20" s="45"/>
      <c r="D20" s="45"/>
      <c r="E20" s="45"/>
      <c r="F20" s="45"/>
      <c r="G20" s="45"/>
      <c r="H20" s="45"/>
      <c r="I20" s="45"/>
      <c r="J20" s="45"/>
      <c r="K20" s="45"/>
      <c r="L20" s="45"/>
      <c r="M20" s="45"/>
      <c r="N20" s="45"/>
      <c r="O20" s="45"/>
      <c r="P20" s="45"/>
    </row>
    <row r="21" spans="2:16" ht="15" x14ac:dyDescent="0.25">
      <c r="B21" s="45"/>
      <c r="C21" s="45"/>
      <c r="D21" s="45"/>
      <c r="E21" s="45"/>
      <c r="F21" s="45"/>
      <c r="G21" s="45"/>
      <c r="H21" s="45"/>
      <c r="I21" s="45"/>
      <c r="J21" s="45"/>
      <c r="K21" s="45"/>
      <c r="L21" s="45"/>
      <c r="M21" s="45"/>
      <c r="N21" s="45"/>
      <c r="O21" s="45"/>
      <c r="P21" s="45"/>
    </row>
    <row r="22" spans="2:16" ht="15" x14ac:dyDescent="0.25">
      <c r="B22" s="45"/>
      <c r="C22" s="45"/>
      <c r="D22" s="45"/>
      <c r="E22" s="45"/>
      <c r="F22" s="45"/>
      <c r="G22" s="45"/>
      <c r="H22" s="45"/>
      <c r="I22" s="45"/>
      <c r="J22" s="45"/>
      <c r="K22" s="45"/>
      <c r="L22" s="45"/>
      <c r="M22" s="45"/>
      <c r="N22" s="45"/>
      <c r="O22" s="45"/>
      <c r="P22" s="45"/>
    </row>
    <row r="23" spans="2:16" ht="15" x14ac:dyDescent="0.25">
      <c r="B23" s="45"/>
      <c r="C23" s="45"/>
      <c r="D23" s="45"/>
      <c r="E23" s="45"/>
      <c r="F23" s="45"/>
      <c r="G23" s="45"/>
      <c r="H23" s="45"/>
      <c r="I23" s="45"/>
      <c r="J23" s="45"/>
      <c r="K23" s="45"/>
      <c r="L23" s="45"/>
      <c r="M23" s="45"/>
      <c r="N23" s="45"/>
      <c r="O23" s="45"/>
      <c r="P23" s="45"/>
    </row>
    <row r="24" spans="2:16" ht="15" x14ac:dyDescent="0.25">
      <c r="B24"/>
      <c r="C24"/>
      <c r="D24"/>
      <c r="E24"/>
      <c r="F24"/>
      <c r="G24"/>
      <c r="H24"/>
      <c r="I24"/>
      <c r="J24"/>
      <c r="K24"/>
      <c r="L24"/>
      <c r="M24"/>
      <c r="N24"/>
      <c r="O24"/>
      <c r="P24"/>
    </row>
    <row r="25" spans="2:16" ht="15" x14ac:dyDescent="0.25">
      <c r="B25"/>
      <c r="C25"/>
      <c r="D25"/>
      <c r="E25"/>
      <c r="F25"/>
      <c r="G25"/>
      <c r="H25"/>
      <c r="I25"/>
      <c r="J25"/>
      <c r="K25"/>
      <c r="L25"/>
      <c r="M25"/>
      <c r="N25"/>
      <c r="O25"/>
      <c r="P25"/>
    </row>
    <row r="26" spans="2:16" ht="15" x14ac:dyDescent="0.25">
      <c r="B26"/>
      <c r="C26"/>
      <c r="D26"/>
      <c r="E26"/>
      <c r="F26"/>
      <c r="G26"/>
      <c r="H26"/>
      <c r="I26"/>
      <c r="J26"/>
      <c r="K26"/>
      <c r="L26"/>
      <c r="M26"/>
      <c r="N26"/>
      <c r="O26"/>
      <c r="P26"/>
    </row>
    <row r="27" spans="2:16" ht="15" x14ac:dyDescent="0.25">
      <c r="B27"/>
      <c r="C27"/>
      <c r="D27"/>
      <c r="E27"/>
      <c r="F27"/>
      <c r="G27"/>
      <c r="H27"/>
      <c r="I27"/>
      <c r="J27"/>
      <c r="K27"/>
      <c r="L27"/>
      <c r="M27"/>
      <c r="N27"/>
      <c r="O27"/>
      <c r="P27"/>
    </row>
    <row r="28" spans="2:16" ht="15" x14ac:dyDescent="0.25">
      <c r="B28"/>
      <c r="C28"/>
      <c r="D28"/>
      <c r="E28"/>
      <c r="F28"/>
      <c r="G28"/>
      <c r="H28"/>
      <c r="I28"/>
      <c r="J28"/>
      <c r="K28"/>
      <c r="L28"/>
      <c r="M28"/>
      <c r="N28"/>
      <c r="O28"/>
      <c r="P28"/>
    </row>
    <row r="29" spans="2:16" ht="15" x14ac:dyDescent="0.25">
      <c r="B29"/>
      <c r="C29"/>
      <c r="D29"/>
      <c r="E29"/>
      <c r="F29"/>
      <c r="G29"/>
      <c r="H29"/>
      <c r="I29"/>
      <c r="J29"/>
      <c r="K29"/>
      <c r="L29"/>
      <c r="M29"/>
      <c r="N29"/>
      <c r="O29"/>
      <c r="P29"/>
    </row>
    <row r="30" spans="2:16" ht="15" x14ac:dyDescent="0.25">
      <c r="B30"/>
      <c r="C30"/>
      <c r="D30"/>
      <c r="E30"/>
      <c r="F30"/>
      <c r="G30"/>
      <c r="H30"/>
      <c r="I30"/>
      <c r="J30"/>
      <c r="K30"/>
      <c r="L30"/>
      <c r="M30"/>
      <c r="N30"/>
      <c r="O30"/>
      <c r="P30"/>
    </row>
    <row r="31" spans="2:16" ht="15" x14ac:dyDescent="0.25">
      <c r="B31"/>
      <c r="C31"/>
      <c r="D31"/>
      <c r="E31"/>
      <c r="F31"/>
      <c r="G31"/>
      <c r="H31"/>
      <c r="I31"/>
      <c r="J31"/>
      <c r="K31"/>
      <c r="L31"/>
      <c r="M31"/>
      <c r="N31"/>
      <c r="O31"/>
      <c r="P31"/>
    </row>
    <row r="32" spans="2:16" ht="15" x14ac:dyDescent="0.25">
      <c r="B32"/>
      <c r="C32"/>
      <c r="D32"/>
      <c r="E32"/>
      <c r="F32"/>
      <c r="G32"/>
      <c r="H32"/>
      <c r="I32"/>
      <c r="J32"/>
      <c r="K32"/>
      <c r="L32"/>
      <c r="M32"/>
      <c r="N32"/>
      <c r="O32"/>
      <c r="P32"/>
    </row>
    <row r="33" spans="2:16" ht="15" x14ac:dyDescent="0.25">
      <c r="B33"/>
      <c r="C33"/>
      <c r="D33"/>
      <c r="E33"/>
      <c r="F33"/>
      <c r="G33"/>
      <c r="H33"/>
      <c r="I33"/>
      <c r="J33"/>
      <c r="K33"/>
      <c r="L33"/>
      <c r="M33"/>
      <c r="N33"/>
      <c r="O33"/>
      <c r="P33"/>
    </row>
    <row r="34" spans="2:16" ht="15" x14ac:dyDescent="0.25">
      <c r="B34"/>
      <c r="C34"/>
      <c r="D34"/>
      <c r="E34"/>
      <c r="F34"/>
      <c r="G34"/>
      <c r="H34"/>
      <c r="I34"/>
      <c r="J34"/>
      <c r="K34"/>
      <c r="L34"/>
      <c r="M34"/>
      <c r="N34"/>
      <c r="O34"/>
      <c r="P34"/>
    </row>
    <row r="35" spans="2:16" ht="15" x14ac:dyDescent="0.25">
      <c r="B35"/>
      <c r="C35"/>
      <c r="D35"/>
      <c r="E35"/>
      <c r="F35"/>
      <c r="G35"/>
      <c r="H35"/>
      <c r="I35"/>
      <c r="J35"/>
      <c r="K35"/>
      <c r="L35"/>
      <c r="M35"/>
      <c r="N35"/>
      <c r="O35"/>
      <c r="P35"/>
    </row>
    <row r="36" spans="2:16" ht="15" x14ac:dyDescent="0.25">
      <c r="B36"/>
      <c r="C36"/>
      <c r="D36"/>
      <c r="E36"/>
      <c r="F36"/>
      <c r="G36"/>
      <c r="H36"/>
      <c r="I36"/>
      <c r="J36"/>
      <c r="K36"/>
      <c r="L36"/>
      <c r="M36"/>
      <c r="N36"/>
      <c r="O36"/>
      <c r="P36"/>
    </row>
    <row r="37" spans="2:16" ht="15" x14ac:dyDescent="0.25">
      <c r="B37"/>
      <c r="C37"/>
      <c r="D37"/>
      <c r="E37"/>
      <c r="F37"/>
      <c r="G37"/>
      <c r="H37"/>
      <c r="I37"/>
      <c r="J37"/>
      <c r="K37"/>
      <c r="L37"/>
      <c r="M37"/>
      <c r="N37"/>
      <c r="O37"/>
      <c r="P37"/>
    </row>
    <row r="38" spans="2:16" ht="15" x14ac:dyDescent="0.25">
      <c r="B38"/>
      <c r="C38"/>
      <c r="D38"/>
      <c r="E38"/>
      <c r="F38"/>
      <c r="G38"/>
      <c r="H38"/>
      <c r="I38"/>
      <c r="J38"/>
      <c r="K38"/>
      <c r="L38"/>
      <c r="M38"/>
      <c r="N38"/>
      <c r="O38"/>
      <c r="P38"/>
    </row>
    <row r="39" spans="2:16" ht="15" x14ac:dyDescent="0.25">
      <c r="B39"/>
      <c r="C39"/>
      <c r="D39"/>
      <c r="E39"/>
      <c r="F39"/>
      <c r="G39"/>
      <c r="H39"/>
      <c r="I39"/>
      <c r="J39"/>
      <c r="K39"/>
      <c r="L39"/>
      <c r="M39"/>
      <c r="N39"/>
      <c r="O39"/>
      <c r="P39"/>
    </row>
    <row r="40" spans="2:16" ht="15" x14ac:dyDescent="0.25">
      <c r="B40"/>
      <c r="C40"/>
      <c r="D40"/>
      <c r="E40"/>
      <c r="F40"/>
      <c r="G40"/>
      <c r="H40"/>
      <c r="I40"/>
      <c r="J40"/>
      <c r="K40"/>
      <c r="L40"/>
      <c r="M40"/>
      <c r="N40"/>
      <c r="O40"/>
      <c r="P40"/>
    </row>
    <row r="41" spans="2:16" ht="15" x14ac:dyDescent="0.25">
      <c r="B41"/>
      <c r="C41"/>
      <c r="D41"/>
      <c r="E41"/>
      <c r="F41"/>
      <c r="G41"/>
      <c r="H41"/>
      <c r="I41"/>
      <c r="J41"/>
      <c r="K41"/>
      <c r="L41"/>
      <c r="M41"/>
      <c r="N41"/>
      <c r="O41"/>
      <c r="P41"/>
    </row>
    <row r="42" spans="2:16" ht="15" x14ac:dyDescent="0.25">
      <c r="B42"/>
      <c r="C42"/>
      <c r="D42"/>
      <c r="E42"/>
      <c r="F42"/>
      <c r="G42"/>
      <c r="H42"/>
      <c r="I42"/>
      <c r="J42"/>
      <c r="K42"/>
      <c r="L42"/>
      <c r="M42"/>
      <c r="N42"/>
      <c r="O42"/>
      <c r="P42"/>
    </row>
    <row r="43" spans="2:16" ht="56.25" customHeight="1" x14ac:dyDescent="0.25">
      <c r="B43"/>
      <c r="C43"/>
      <c r="D43"/>
      <c r="E43"/>
      <c r="F43"/>
      <c r="G43"/>
      <c r="H43"/>
      <c r="I43"/>
      <c r="J43"/>
      <c r="K43"/>
      <c r="L43"/>
      <c r="M43"/>
      <c r="N43"/>
      <c r="O43"/>
      <c r="P43"/>
    </row>
    <row r="44" spans="2:16" ht="15" x14ac:dyDescent="0.25">
      <c r="B44"/>
      <c r="C44"/>
      <c r="D44"/>
      <c r="E44"/>
      <c r="F44"/>
      <c r="G44"/>
      <c r="H44"/>
      <c r="I44"/>
      <c r="J44"/>
      <c r="K44"/>
      <c r="L44"/>
      <c r="M44"/>
      <c r="N44"/>
      <c r="O44"/>
      <c r="P44"/>
    </row>
    <row r="45" spans="2:16" ht="15" x14ac:dyDescent="0.25">
      <c r="B45"/>
      <c r="C45"/>
      <c r="D45"/>
      <c r="E45"/>
      <c r="F45"/>
      <c r="G45"/>
      <c r="H45"/>
      <c r="I45"/>
      <c r="J45"/>
      <c r="K45"/>
      <c r="L45"/>
      <c r="M45"/>
      <c r="N45"/>
      <c r="O45"/>
      <c r="P45"/>
    </row>
    <row r="46" spans="2:16" ht="15" x14ac:dyDescent="0.25">
      <c r="B46"/>
      <c r="C46"/>
      <c r="D46"/>
      <c r="E46"/>
      <c r="F46"/>
      <c r="G46"/>
      <c r="H46"/>
      <c r="I46"/>
      <c r="J46"/>
      <c r="K46"/>
      <c r="L46"/>
      <c r="M46"/>
      <c r="N46"/>
      <c r="O46"/>
      <c r="P46"/>
    </row>
    <row r="47" spans="2:16" ht="15" x14ac:dyDescent="0.25">
      <c r="B47"/>
      <c r="C47"/>
      <c r="D47"/>
      <c r="E47"/>
      <c r="F47"/>
      <c r="G47"/>
      <c r="H47"/>
      <c r="I47"/>
      <c r="J47"/>
      <c r="K47"/>
      <c r="L47"/>
      <c r="M47"/>
      <c r="N47"/>
      <c r="O47"/>
      <c r="P47"/>
    </row>
    <row r="48" spans="2:16" ht="67.5" customHeight="1" x14ac:dyDescent="0.25">
      <c r="B48"/>
      <c r="C48"/>
      <c r="D48"/>
      <c r="E48"/>
      <c r="F48"/>
      <c r="G48"/>
      <c r="H48"/>
      <c r="I48"/>
      <c r="J48"/>
      <c r="K48"/>
      <c r="L48"/>
      <c r="M48"/>
      <c r="N48"/>
      <c r="O48"/>
      <c r="P48"/>
    </row>
    <row r="49" spans="2:16" ht="65.25" customHeight="1" x14ac:dyDescent="0.25">
      <c r="B49"/>
      <c r="C49"/>
      <c r="D49"/>
      <c r="E49"/>
      <c r="F49"/>
      <c r="G49"/>
      <c r="H49"/>
      <c r="I49"/>
      <c r="J49"/>
      <c r="K49"/>
      <c r="L49"/>
      <c r="M49"/>
      <c r="N49"/>
      <c r="O49"/>
      <c r="P49"/>
    </row>
    <row r="50" spans="2:16" ht="15" x14ac:dyDescent="0.25">
      <c r="B50"/>
      <c r="C50"/>
      <c r="D50"/>
      <c r="E50"/>
      <c r="F50"/>
      <c r="G50"/>
      <c r="H50"/>
      <c r="I50"/>
      <c r="J50"/>
      <c r="K50"/>
      <c r="L50"/>
      <c r="M50"/>
      <c r="N50"/>
      <c r="O50"/>
      <c r="P50"/>
    </row>
    <row r="51" spans="2:16" ht="15" x14ac:dyDescent="0.25">
      <c r="B51"/>
      <c r="C51"/>
      <c r="D51"/>
      <c r="E51"/>
      <c r="F51"/>
      <c r="G51"/>
      <c r="H51"/>
      <c r="I51"/>
      <c r="J51"/>
      <c r="K51"/>
      <c r="L51"/>
      <c r="M51"/>
      <c r="N51"/>
      <c r="O51"/>
      <c r="P51"/>
    </row>
    <row r="52" spans="2:16" ht="15" x14ac:dyDescent="0.25">
      <c r="B52"/>
      <c r="C52"/>
      <c r="D52"/>
      <c r="E52"/>
      <c r="F52"/>
      <c r="G52"/>
      <c r="H52"/>
      <c r="I52"/>
      <c r="J52"/>
      <c r="K52"/>
      <c r="L52"/>
      <c r="M52"/>
      <c r="N52"/>
      <c r="O52"/>
      <c r="P52"/>
    </row>
    <row r="53" spans="2:16" ht="15" x14ac:dyDescent="0.25">
      <c r="B53"/>
      <c r="C53"/>
      <c r="D53"/>
      <c r="E53"/>
      <c r="F53"/>
      <c r="G53"/>
      <c r="H53"/>
      <c r="I53"/>
      <c r="J53"/>
      <c r="K53"/>
      <c r="L53"/>
      <c r="M53"/>
      <c r="N53"/>
      <c r="O53"/>
      <c r="P53"/>
    </row>
    <row r="54" spans="2:16" ht="15" x14ac:dyDescent="0.25">
      <c r="B54"/>
      <c r="C54"/>
      <c r="D54"/>
      <c r="E54"/>
      <c r="F54"/>
      <c r="G54"/>
      <c r="H54"/>
      <c r="I54"/>
      <c r="J54"/>
      <c r="K54"/>
      <c r="L54"/>
      <c r="M54"/>
      <c r="N54"/>
      <c r="O54"/>
      <c r="P54"/>
    </row>
    <row r="55" spans="2:16" ht="15" x14ac:dyDescent="0.25">
      <c r="B55"/>
      <c r="C55"/>
      <c r="D55"/>
      <c r="E55"/>
      <c r="F55"/>
      <c r="G55"/>
      <c r="H55"/>
      <c r="I55"/>
      <c r="J55"/>
      <c r="K55"/>
      <c r="L55"/>
      <c r="M55"/>
      <c r="N55"/>
      <c r="O55"/>
      <c r="P55"/>
    </row>
    <row r="56" spans="2:16" ht="15" x14ac:dyDescent="0.25">
      <c r="B56"/>
      <c r="C56"/>
      <c r="D56"/>
      <c r="E56"/>
      <c r="F56"/>
      <c r="G56"/>
      <c r="H56"/>
      <c r="I56"/>
      <c r="J56"/>
      <c r="K56"/>
      <c r="L56"/>
      <c r="M56"/>
      <c r="N56"/>
      <c r="O56"/>
      <c r="P56"/>
    </row>
    <row r="57" spans="2:16" ht="15" x14ac:dyDescent="0.25">
      <c r="B57"/>
      <c r="C57"/>
      <c r="D57"/>
      <c r="E57"/>
      <c r="F57"/>
      <c r="G57"/>
      <c r="H57"/>
      <c r="I57"/>
      <c r="J57"/>
      <c r="K57"/>
      <c r="L57"/>
      <c r="M57"/>
      <c r="N57"/>
      <c r="O57"/>
      <c r="P57"/>
    </row>
    <row r="58" spans="2:16" ht="15" x14ac:dyDescent="0.25">
      <c r="B58"/>
      <c r="C58"/>
      <c r="D58"/>
      <c r="E58"/>
      <c r="F58"/>
      <c r="G58"/>
      <c r="H58"/>
      <c r="I58"/>
      <c r="J58"/>
      <c r="K58"/>
      <c r="L58"/>
      <c r="M58"/>
      <c r="N58"/>
      <c r="O58"/>
      <c r="P58"/>
    </row>
    <row r="59" spans="2:16" ht="15" x14ac:dyDescent="0.25">
      <c r="B59"/>
      <c r="C59"/>
      <c r="D59"/>
      <c r="E59"/>
      <c r="F59"/>
      <c r="G59"/>
      <c r="H59"/>
      <c r="I59"/>
      <c r="J59"/>
      <c r="K59"/>
      <c r="L59"/>
      <c r="M59"/>
      <c r="N59"/>
      <c r="O59"/>
      <c r="P59"/>
    </row>
    <row r="60" spans="2:16" ht="15" x14ac:dyDescent="0.25">
      <c r="B60"/>
      <c r="C60"/>
      <c r="D60"/>
      <c r="E60"/>
      <c r="F60"/>
      <c r="G60"/>
      <c r="H60"/>
      <c r="I60"/>
      <c r="J60"/>
      <c r="K60"/>
      <c r="L60"/>
      <c r="M60"/>
      <c r="N60"/>
      <c r="O60"/>
      <c r="P60"/>
    </row>
    <row r="61" spans="2:16" ht="15" x14ac:dyDescent="0.25">
      <c r="B61"/>
      <c r="C61"/>
      <c r="D61"/>
      <c r="E61"/>
      <c r="F61"/>
      <c r="G61"/>
      <c r="H61"/>
      <c r="I61"/>
      <c r="J61"/>
      <c r="K61"/>
      <c r="L61"/>
      <c r="M61"/>
      <c r="N61"/>
      <c r="O61"/>
      <c r="P61"/>
    </row>
    <row r="62" spans="2:16" ht="15" x14ac:dyDescent="0.25">
      <c r="B62"/>
      <c r="C62"/>
      <c r="D62"/>
      <c r="E62"/>
      <c r="F62"/>
      <c r="G62"/>
      <c r="H62"/>
      <c r="I62"/>
      <c r="J62"/>
      <c r="K62"/>
      <c r="L62"/>
      <c r="M62"/>
      <c r="N62"/>
      <c r="O62"/>
      <c r="P62"/>
    </row>
    <row r="63" spans="2:16" ht="15" x14ac:dyDescent="0.25">
      <c r="B63"/>
      <c r="C63"/>
      <c r="D63"/>
      <c r="E63"/>
      <c r="F63"/>
      <c r="G63"/>
      <c r="H63"/>
      <c r="I63"/>
      <c r="J63"/>
      <c r="K63"/>
      <c r="L63"/>
      <c r="M63"/>
      <c r="N63"/>
      <c r="O63"/>
      <c r="P63"/>
    </row>
    <row r="64" spans="2:16" ht="15" x14ac:dyDescent="0.25">
      <c r="B64"/>
      <c r="C64"/>
      <c r="D64"/>
      <c r="E64"/>
      <c r="F64"/>
      <c r="G64"/>
      <c r="H64"/>
      <c r="I64"/>
      <c r="J64"/>
      <c r="K64"/>
      <c r="L64"/>
      <c r="M64"/>
      <c r="N64"/>
      <c r="O64"/>
      <c r="P64"/>
    </row>
    <row r="65" spans="2:16" ht="15" x14ac:dyDescent="0.25">
      <c r="B65"/>
      <c r="C65"/>
      <c r="D65"/>
      <c r="E65"/>
      <c r="F65"/>
      <c r="G65"/>
      <c r="H65"/>
      <c r="I65"/>
      <c r="J65"/>
      <c r="K65"/>
      <c r="L65"/>
      <c r="M65"/>
      <c r="N65"/>
      <c r="O65"/>
      <c r="P65"/>
    </row>
    <row r="66" spans="2:16" ht="15" x14ac:dyDescent="0.25">
      <c r="B66"/>
      <c r="C66"/>
      <c r="D66"/>
      <c r="E66"/>
      <c r="F66"/>
      <c r="G66"/>
      <c r="H66"/>
      <c r="I66"/>
      <c r="J66"/>
      <c r="K66"/>
      <c r="L66"/>
      <c r="M66"/>
      <c r="N66"/>
      <c r="O66"/>
      <c r="P66"/>
    </row>
    <row r="67" spans="2:16" ht="15" x14ac:dyDescent="0.25">
      <c r="B67"/>
      <c r="C67"/>
      <c r="D67"/>
      <c r="E67"/>
      <c r="F67"/>
      <c r="G67"/>
      <c r="H67"/>
      <c r="I67"/>
      <c r="J67"/>
      <c r="K67"/>
      <c r="L67"/>
      <c r="M67"/>
      <c r="N67"/>
      <c r="O67"/>
      <c r="P67"/>
    </row>
    <row r="68" spans="2:16" ht="15" x14ac:dyDescent="0.25">
      <c r="B68"/>
      <c r="C68"/>
      <c r="D68"/>
      <c r="E68"/>
      <c r="F68"/>
      <c r="G68"/>
      <c r="H68"/>
      <c r="I68"/>
      <c r="J68"/>
      <c r="K68"/>
      <c r="L68"/>
      <c r="M68"/>
      <c r="N68"/>
      <c r="O68"/>
      <c r="P68"/>
    </row>
    <row r="69" spans="2:16" ht="15" x14ac:dyDescent="0.25">
      <c r="B69"/>
      <c r="C69"/>
      <c r="D69"/>
      <c r="E69"/>
      <c r="F69"/>
      <c r="G69"/>
      <c r="H69"/>
      <c r="I69"/>
      <c r="J69"/>
      <c r="K69"/>
      <c r="L69"/>
      <c r="M69"/>
      <c r="N69"/>
      <c r="O69"/>
      <c r="P69"/>
    </row>
    <row r="70" spans="2:16" ht="15" x14ac:dyDescent="0.25">
      <c r="B70"/>
      <c r="C70"/>
      <c r="D70"/>
      <c r="E70"/>
      <c r="F70"/>
      <c r="G70"/>
      <c r="H70"/>
      <c r="I70"/>
      <c r="J70"/>
      <c r="K70"/>
      <c r="L70"/>
      <c r="M70"/>
      <c r="N70"/>
      <c r="O70"/>
      <c r="P70"/>
    </row>
    <row r="71" spans="2:16" ht="15" x14ac:dyDescent="0.25">
      <c r="B71"/>
      <c r="C71"/>
      <c r="D71"/>
      <c r="E71"/>
      <c r="F71"/>
      <c r="G71"/>
      <c r="H71"/>
      <c r="I71"/>
      <c r="J71"/>
      <c r="K71"/>
      <c r="L71"/>
      <c r="M71"/>
      <c r="N71"/>
      <c r="O71"/>
      <c r="P71"/>
    </row>
    <row r="72" spans="2:16" ht="15" x14ac:dyDescent="0.25">
      <c r="B72"/>
      <c r="C72"/>
      <c r="D72"/>
      <c r="E72"/>
      <c r="F72"/>
      <c r="G72"/>
      <c r="H72"/>
      <c r="I72"/>
      <c r="J72"/>
      <c r="K72"/>
      <c r="L72"/>
      <c r="M72"/>
      <c r="N72"/>
      <c r="O72"/>
      <c r="P72"/>
    </row>
    <row r="73" spans="2:16" ht="15" x14ac:dyDescent="0.25">
      <c r="B73"/>
      <c r="C73"/>
      <c r="D73"/>
      <c r="E73"/>
      <c r="F73"/>
      <c r="G73"/>
      <c r="H73"/>
      <c r="I73"/>
      <c r="J73"/>
      <c r="K73"/>
      <c r="L73"/>
      <c r="M73"/>
      <c r="N73"/>
      <c r="O73"/>
      <c r="P73"/>
    </row>
    <row r="74" spans="2:16" ht="15" x14ac:dyDescent="0.25">
      <c r="B74"/>
      <c r="C74"/>
      <c r="D74"/>
      <c r="E74"/>
      <c r="F74"/>
      <c r="G74"/>
      <c r="H74"/>
      <c r="I74"/>
      <c r="J74"/>
      <c r="K74"/>
      <c r="L74"/>
      <c r="M74"/>
      <c r="N74"/>
      <c r="O74"/>
      <c r="P74"/>
    </row>
    <row r="75" spans="2:16" ht="15" x14ac:dyDescent="0.25">
      <c r="B75"/>
      <c r="C75"/>
      <c r="D75"/>
      <c r="E75"/>
      <c r="F75"/>
      <c r="G75"/>
      <c r="H75"/>
      <c r="I75"/>
      <c r="J75"/>
      <c r="K75"/>
      <c r="L75"/>
      <c r="M75"/>
      <c r="N75"/>
      <c r="O75"/>
      <c r="P75"/>
    </row>
    <row r="76" spans="2:16" ht="15" x14ac:dyDescent="0.25">
      <c r="B76"/>
      <c r="C76"/>
      <c r="D76"/>
      <c r="E76"/>
      <c r="F76"/>
      <c r="G76"/>
      <c r="H76"/>
      <c r="I76"/>
      <c r="J76"/>
      <c r="K76"/>
      <c r="L76"/>
      <c r="M76"/>
      <c r="N76"/>
      <c r="O76"/>
      <c r="P76"/>
    </row>
    <row r="77" spans="2:16" ht="15" x14ac:dyDescent="0.25">
      <c r="B77"/>
      <c r="C77"/>
      <c r="D77"/>
      <c r="E77"/>
      <c r="F77"/>
      <c r="G77"/>
      <c r="H77"/>
      <c r="I77"/>
      <c r="J77"/>
      <c r="K77"/>
      <c r="L77"/>
      <c r="M77"/>
      <c r="N77"/>
      <c r="O77"/>
      <c r="P77"/>
    </row>
    <row r="78" spans="2:16" ht="15" x14ac:dyDescent="0.25">
      <c r="B78"/>
      <c r="C78"/>
      <c r="D78"/>
      <c r="E78"/>
      <c r="F78"/>
      <c r="G78"/>
      <c r="H78"/>
      <c r="I78"/>
      <c r="J78"/>
      <c r="K78"/>
      <c r="L78"/>
      <c r="M78"/>
      <c r="N78"/>
      <c r="O78"/>
      <c r="P78"/>
    </row>
    <row r="79" spans="2:16" ht="15" x14ac:dyDescent="0.25">
      <c r="B79"/>
      <c r="C79"/>
      <c r="D79"/>
      <c r="E79"/>
      <c r="F79"/>
      <c r="G79"/>
      <c r="H79"/>
      <c r="I79"/>
      <c r="J79"/>
      <c r="K79"/>
      <c r="L79"/>
      <c r="M79"/>
      <c r="N79"/>
      <c r="O79"/>
      <c r="P79"/>
    </row>
    <row r="80" spans="2:16" ht="15" x14ac:dyDescent="0.25">
      <c r="B80"/>
      <c r="C80"/>
      <c r="D80"/>
      <c r="E80"/>
      <c r="F80"/>
      <c r="G80"/>
      <c r="H80"/>
      <c r="I80"/>
      <c r="J80"/>
      <c r="K80"/>
      <c r="L80"/>
      <c r="M80"/>
      <c r="N80"/>
      <c r="O80"/>
      <c r="P80"/>
    </row>
    <row r="81" spans="2:16" ht="15" x14ac:dyDescent="0.25">
      <c r="B81"/>
      <c r="C81"/>
      <c r="D81"/>
      <c r="E81"/>
      <c r="F81"/>
      <c r="G81"/>
      <c r="H81"/>
      <c r="I81"/>
      <c r="J81"/>
      <c r="K81"/>
      <c r="L81"/>
      <c r="M81"/>
      <c r="N81"/>
      <c r="O81"/>
      <c r="P81"/>
    </row>
    <row r="82" spans="2:16" ht="15" x14ac:dyDescent="0.25">
      <c r="B82"/>
      <c r="C82"/>
      <c r="D82"/>
      <c r="E82"/>
      <c r="F82"/>
      <c r="G82"/>
      <c r="H82"/>
      <c r="I82"/>
      <c r="J82"/>
      <c r="K82"/>
      <c r="L82"/>
      <c r="M82"/>
      <c r="N82"/>
      <c r="O82"/>
      <c r="P82"/>
    </row>
    <row r="83" spans="2:16" ht="15" x14ac:dyDescent="0.25">
      <c r="B83"/>
      <c r="C83"/>
      <c r="D83"/>
      <c r="E83"/>
      <c r="F83"/>
      <c r="G83"/>
      <c r="H83"/>
      <c r="I83"/>
      <c r="J83"/>
      <c r="K83"/>
      <c r="L83"/>
      <c r="M83"/>
      <c r="N83"/>
      <c r="O83"/>
      <c r="P83"/>
    </row>
    <row r="84" spans="2:16" ht="15" x14ac:dyDescent="0.25">
      <c r="B84"/>
      <c r="C84"/>
      <c r="D84"/>
      <c r="E84"/>
      <c r="F84"/>
      <c r="G84"/>
      <c r="H84"/>
      <c r="I84"/>
      <c r="J84"/>
      <c r="K84"/>
      <c r="L84"/>
      <c r="M84"/>
      <c r="N84"/>
      <c r="O84"/>
      <c r="P84"/>
    </row>
    <row r="85" spans="2:16" ht="15" x14ac:dyDescent="0.25">
      <c r="B85"/>
      <c r="C85"/>
      <c r="D85"/>
      <c r="E85"/>
      <c r="F85"/>
      <c r="G85"/>
      <c r="H85"/>
      <c r="I85"/>
      <c r="J85"/>
      <c r="K85"/>
      <c r="L85"/>
      <c r="M85"/>
      <c r="N85"/>
      <c r="O85"/>
      <c r="P85"/>
    </row>
    <row r="86" spans="2:16" ht="15" x14ac:dyDescent="0.25">
      <c r="B86"/>
      <c r="C86"/>
      <c r="D86"/>
      <c r="E86"/>
      <c r="F86"/>
      <c r="G86"/>
      <c r="H86"/>
      <c r="I86"/>
      <c r="J86"/>
      <c r="K86"/>
      <c r="L86"/>
      <c r="M86"/>
      <c r="N86"/>
      <c r="O86"/>
      <c r="P86"/>
    </row>
    <row r="87" spans="2:16" ht="15" x14ac:dyDescent="0.25">
      <c r="B87"/>
      <c r="C87"/>
      <c r="D87"/>
      <c r="E87"/>
      <c r="F87"/>
      <c r="G87"/>
      <c r="H87"/>
      <c r="I87"/>
      <c r="J87"/>
      <c r="K87"/>
      <c r="L87"/>
      <c r="M87"/>
      <c r="N87"/>
      <c r="O87"/>
      <c r="P87"/>
    </row>
    <row r="88" spans="2:16" ht="15" x14ac:dyDescent="0.25">
      <c r="B88"/>
      <c r="C88"/>
      <c r="D88"/>
      <c r="E88"/>
      <c r="F88"/>
      <c r="G88"/>
      <c r="H88"/>
      <c r="I88"/>
      <c r="J88"/>
      <c r="K88"/>
      <c r="L88"/>
      <c r="M88"/>
      <c r="N88"/>
      <c r="O88"/>
      <c r="P88"/>
    </row>
    <row r="89" spans="2:16" ht="15" x14ac:dyDescent="0.25">
      <c r="B89"/>
      <c r="C89"/>
      <c r="D89"/>
      <c r="E89"/>
      <c r="F89"/>
      <c r="G89"/>
      <c r="H89"/>
      <c r="I89"/>
      <c r="J89"/>
      <c r="K89"/>
      <c r="L89"/>
      <c r="M89"/>
      <c r="N89"/>
      <c r="O89"/>
      <c r="P89"/>
    </row>
    <row r="90" spans="2:16" ht="15" x14ac:dyDescent="0.25">
      <c r="B90"/>
      <c r="C90"/>
      <c r="D90"/>
      <c r="E90"/>
      <c r="F90"/>
      <c r="G90"/>
      <c r="H90"/>
      <c r="I90"/>
      <c r="J90"/>
      <c r="K90"/>
      <c r="L90"/>
      <c r="M90"/>
      <c r="N90"/>
      <c r="O90"/>
      <c r="P90"/>
    </row>
    <row r="91" spans="2:16" ht="15" x14ac:dyDescent="0.25">
      <c r="B91"/>
      <c r="C91"/>
      <c r="D91"/>
      <c r="E91"/>
      <c r="F91"/>
      <c r="G91"/>
      <c r="H91"/>
      <c r="I91"/>
      <c r="J91"/>
      <c r="K91"/>
      <c r="L91"/>
      <c r="M91"/>
      <c r="N91"/>
      <c r="O91"/>
      <c r="P91"/>
    </row>
  </sheetData>
  <autoFilter ref="E4:E14"/>
  <mergeCells count="14">
    <mergeCell ref="M3:M4"/>
    <mergeCell ref="N3:N4"/>
    <mergeCell ref="O3:O4"/>
    <mergeCell ref="P3:P4"/>
    <mergeCell ref="B1:F2"/>
    <mergeCell ref="G1:L2"/>
    <mergeCell ref="M1:P2"/>
    <mergeCell ref="B3:B4"/>
    <mergeCell ref="C3:C4"/>
    <mergeCell ref="D3:G3"/>
    <mergeCell ref="H3:H4"/>
    <mergeCell ref="I3:I4"/>
    <mergeCell ref="J3:J4"/>
    <mergeCell ref="K3:L3"/>
  </mergeCells>
  <printOptions gridLines="1"/>
  <pageMargins left="0.7" right="0.7" top="0.5" bottom="0.5" header="0.3" footer="0.3"/>
  <pageSetup paperSize="9" scale="3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M44"/>
  <sheetViews>
    <sheetView zoomScale="111" zoomScaleNormal="111" workbookViewId="0">
      <selection activeCell="J4" sqref="J4"/>
    </sheetView>
  </sheetViews>
  <sheetFormatPr defaultRowHeight="15" x14ac:dyDescent="0.25"/>
  <cols>
    <col min="1" max="1" width="2.28515625" customWidth="1"/>
    <col min="2" max="2" width="5.42578125" customWidth="1"/>
    <col min="3" max="3" width="12.42578125" customWidth="1"/>
    <col min="4" max="4" width="15.5703125" bestFit="1" customWidth="1"/>
    <col min="5" max="5" width="12.140625" customWidth="1"/>
    <col min="6" max="6" width="8.28515625" customWidth="1"/>
    <col min="7" max="7" width="8.140625" customWidth="1"/>
    <col min="8" max="8" width="10.140625" customWidth="1"/>
    <col min="9" max="9" width="15.85546875" style="48" customWidth="1"/>
    <col min="10" max="10" width="19.42578125" customWidth="1"/>
    <col min="11" max="11" width="14.28515625" customWidth="1"/>
    <col min="12" max="12" width="16.28515625" customWidth="1"/>
    <col min="13" max="13" width="34.5703125" customWidth="1"/>
  </cols>
  <sheetData>
    <row r="1" spans="2:13" ht="41.25" customHeight="1" thickBot="1" x14ac:dyDescent="0.3">
      <c r="B1" s="277"/>
      <c r="C1" s="278"/>
      <c r="D1" s="279"/>
      <c r="E1" s="280" t="s">
        <v>80</v>
      </c>
      <c r="F1" s="281"/>
      <c r="G1" s="281"/>
      <c r="H1" s="281"/>
      <c r="I1" s="281"/>
      <c r="J1" s="281"/>
      <c r="K1" s="282"/>
      <c r="L1" s="283" t="s">
        <v>55</v>
      </c>
      <c r="M1" s="284"/>
    </row>
    <row r="2" spans="2:13" ht="15.75" thickBot="1" x14ac:dyDescent="0.3"/>
    <row r="3" spans="2:13" ht="48" thickBot="1" x14ac:dyDescent="0.3">
      <c r="B3" s="22" t="s">
        <v>1</v>
      </c>
      <c r="C3" s="87" t="s">
        <v>56</v>
      </c>
      <c r="D3" s="89" t="s">
        <v>57</v>
      </c>
      <c r="E3" s="21" t="s">
        <v>58</v>
      </c>
      <c r="F3" s="247" t="s">
        <v>59</v>
      </c>
      <c r="G3" s="249"/>
      <c r="H3" s="91" t="s">
        <v>60</v>
      </c>
      <c r="I3" s="21" t="s">
        <v>61</v>
      </c>
      <c r="J3" s="91" t="s">
        <v>62</v>
      </c>
      <c r="K3" s="21" t="s">
        <v>63</v>
      </c>
      <c r="L3" s="21" t="s">
        <v>64</v>
      </c>
      <c r="M3" s="92" t="s">
        <v>9</v>
      </c>
    </row>
    <row r="4" spans="2:13" s="33" customFormat="1" ht="45" x14ac:dyDescent="0.25">
      <c r="B4" s="61">
        <v>1</v>
      </c>
      <c r="C4" s="111">
        <v>45722</v>
      </c>
      <c r="D4" s="34" t="s">
        <v>165</v>
      </c>
      <c r="E4" s="35">
        <v>0.28819444444444448</v>
      </c>
      <c r="F4" s="36" t="s">
        <v>167</v>
      </c>
      <c r="G4" s="36" t="s">
        <v>168</v>
      </c>
      <c r="H4" s="36" t="s">
        <v>167</v>
      </c>
      <c r="I4" s="37" t="s">
        <v>169</v>
      </c>
      <c r="J4" s="37" t="s">
        <v>166</v>
      </c>
      <c r="K4" s="36" t="s">
        <v>171</v>
      </c>
      <c r="L4" s="36" t="s">
        <v>153</v>
      </c>
      <c r="M4" s="37" t="s">
        <v>170</v>
      </c>
    </row>
    <row r="5" spans="2:13" s="33" customFormat="1" ht="90" x14ac:dyDescent="0.25">
      <c r="B5" s="61">
        <v>2</v>
      </c>
      <c r="C5" s="111">
        <v>45728</v>
      </c>
      <c r="D5" s="34" t="s">
        <v>183</v>
      </c>
      <c r="E5" s="35">
        <v>0.3263888888888889</v>
      </c>
      <c r="F5" s="36" t="s">
        <v>167</v>
      </c>
      <c r="G5" s="36" t="s">
        <v>168</v>
      </c>
      <c r="H5" s="36" t="s">
        <v>167</v>
      </c>
      <c r="I5" s="37" t="s">
        <v>181</v>
      </c>
      <c r="J5" s="37" t="s">
        <v>182</v>
      </c>
      <c r="K5" s="36" t="s">
        <v>171</v>
      </c>
      <c r="L5" s="36" t="s">
        <v>153</v>
      </c>
      <c r="M5" s="82" t="s">
        <v>180</v>
      </c>
    </row>
    <row r="6" spans="2:13" s="33" customFormat="1" ht="60" x14ac:dyDescent="0.25">
      <c r="B6" s="61">
        <v>3</v>
      </c>
      <c r="C6" s="111">
        <v>45728</v>
      </c>
      <c r="D6" s="34" t="s">
        <v>185</v>
      </c>
      <c r="E6" s="35">
        <v>0.3263888888888889</v>
      </c>
      <c r="F6" s="36" t="s">
        <v>167</v>
      </c>
      <c r="G6" s="36" t="s">
        <v>168</v>
      </c>
      <c r="H6" s="36" t="s">
        <v>167</v>
      </c>
      <c r="I6" s="37" t="s">
        <v>181</v>
      </c>
      <c r="J6" s="37" t="s">
        <v>187</v>
      </c>
      <c r="K6" s="36" t="s">
        <v>171</v>
      </c>
      <c r="L6" s="36" t="s">
        <v>186</v>
      </c>
      <c r="M6" s="82" t="s">
        <v>184</v>
      </c>
    </row>
    <row r="7" spans="2:13" s="10" customFormat="1" ht="75" x14ac:dyDescent="0.25">
      <c r="B7" s="61">
        <v>4</v>
      </c>
      <c r="C7" s="76">
        <v>45760</v>
      </c>
      <c r="D7" s="49" t="s">
        <v>220</v>
      </c>
      <c r="E7" s="50">
        <v>0.49722222222222223</v>
      </c>
      <c r="F7" s="49" t="s">
        <v>221</v>
      </c>
      <c r="G7" s="36" t="s">
        <v>168</v>
      </c>
      <c r="H7" s="36" t="s">
        <v>167</v>
      </c>
      <c r="I7" s="51" t="s">
        <v>222</v>
      </c>
      <c r="J7" s="37" t="s">
        <v>223</v>
      </c>
      <c r="K7" s="36" t="s">
        <v>171</v>
      </c>
      <c r="L7" s="49" t="s">
        <v>224</v>
      </c>
      <c r="M7" s="51" t="s">
        <v>225</v>
      </c>
    </row>
    <row r="8" spans="2:13" s="10" customFormat="1" ht="75" x14ac:dyDescent="0.25">
      <c r="B8" s="61">
        <v>5</v>
      </c>
      <c r="C8" s="52">
        <v>45761</v>
      </c>
      <c r="D8" s="34" t="s">
        <v>236</v>
      </c>
      <c r="E8" s="53">
        <v>0.4201388888888889</v>
      </c>
      <c r="F8" s="49" t="s">
        <v>221</v>
      </c>
      <c r="G8" s="36" t="s">
        <v>168</v>
      </c>
      <c r="H8" s="49" t="s">
        <v>221</v>
      </c>
      <c r="I8" s="14" t="s">
        <v>237</v>
      </c>
      <c r="J8" s="37" t="s">
        <v>238</v>
      </c>
      <c r="K8" s="34"/>
      <c r="L8" s="36" t="s">
        <v>153</v>
      </c>
      <c r="M8" s="82" t="s">
        <v>235</v>
      </c>
    </row>
    <row r="9" spans="2:13" s="10" customFormat="1" ht="45" x14ac:dyDescent="0.25">
      <c r="B9" s="61">
        <v>6</v>
      </c>
      <c r="C9" s="52">
        <v>45761</v>
      </c>
      <c r="D9" s="34" t="s">
        <v>239</v>
      </c>
      <c r="E9" s="53">
        <v>0.4826388888888889</v>
      </c>
      <c r="F9" s="34" t="s">
        <v>167</v>
      </c>
      <c r="G9" s="34" t="s">
        <v>168</v>
      </c>
      <c r="H9" s="34" t="s">
        <v>221</v>
      </c>
      <c r="I9" s="57" t="s">
        <v>241</v>
      </c>
      <c r="J9" s="37" t="s">
        <v>238</v>
      </c>
      <c r="K9" s="56"/>
      <c r="L9" s="36" t="s">
        <v>153</v>
      </c>
      <c r="M9" s="57" t="s">
        <v>240</v>
      </c>
    </row>
    <row r="10" spans="2:13" s="10" customFormat="1" ht="60" x14ac:dyDescent="0.25">
      <c r="B10" s="61">
        <v>7</v>
      </c>
      <c r="C10" s="128">
        <v>45763</v>
      </c>
      <c r="D10" s="34" t="s">
        <v>246</v>
      </c>
      <c r="E10" s="129">
        <v>0.41736111111111113</v>
      </c>
      <c r="F10" s="36" t="s">
        <v>168</v>
      </c>
      <c r="G10" s="49" t="s">
        <v>221</v>
      </c>
      <c r="H10" s="34" t="s">
        <v>167</v>
      </c>
      <c r="I10" s="57" t="s">
        <v>247</v>
      </c>
      <c r="J10" s="37" t="s">
        <v>248</v>
      </c>
      <c r="K10" s="56"/>
      <c r="L10" s="36" t="s">
        <v>153</v>
      </c>
      <c r="M10" s="82" t="s">
        <v>245</v>
      </c>
    </row>
    <row r="11" spans="2:13" s="10" customFormat="1" ht="60" x14ac:dyDescent="0.25">
      <c r="B11" s="61">
        <v>8</v>
      </c>
      <c r="C11" s="128">
        <v>45766</v>
      </c>
      <c r="D11" s="34" t="s">
        <v>250</v>
      </c>
      <c r="E11" s="59">
        <v>0.54513888888888895</v>
      </c>
      <c r="F11" s="34" t="s">
        <v>167</v>
      </c>
      <c r="G11" s="34" t="s">
        <v>168</v>
      </c>
      <c r="H11" s="34" t="s">
        <v>221</v>
      </c>
      <c r="I11" s="57" t="s">
        <v>251</v>
      </c>
      <c r="J11" s="37" t="s">
        <v>252</v>
      </c>
      <c r="K11" s="56"/>
      <c r="L11" s="34" t="s">
        <v>224</v>
      </c>
      <c r="M11" s="82" t="s">
        <v>249</v>
      </c>
    </row>
    <row r="12" spans="2:13" s="10" customFormat="1" ht="90" x14ac:dyDescent="0.25">
      <c r="B12" s="61">
        <v>9</v>
      </c>
      <c r="C12" s="60">
        <v>45788</v>
      </c>
      <c r="D12" s="34" t="s">
        <v>239</v>
      </c>
      <c r="E12" s="129">
        <v>0.49861111111111112</v>
      </c>
      <c r="F12" s="34" t="s">
        <v>167</v>
      </c>
      <c r="G12" s="34" t="s">
        <v>168</v>
      </c>
      <c r="H12" s="34" t="s">
        <v>221</v>
      </c>
      <c r="I12" s="57" t="s">
        <v>304</v>
      </c>
      <c r="J12" s="37" t="s">
        <v>305</v>
      </c>
      <c r="K12" s="56"/>
      <c r="L12" s="36" t="s">
        <v>153</v>
      </c>
      <c r="M12" s="82" t="s">
        <v>303</v>
      </c>
    </row>
    <row r="13" spans="2:13" s="10" customFormat="1" ht="75" x14ac:dyDescent="0.25">
      <c r="B13" s="61">
        <v>10</v>
      </c>
      <c r="C13" s="52">
        <v>45799</v>
      </c>
      <c r="D13" s="34" t="s">
        <v>311</v>
      </c>
      <c r="E13" s="59">
        <v>0.47083333333333338</v>
      </c>
      <c r="F13" s="34" t="s">
        <v>167</v>
      </c>
      <c r="G13" s="34" t="s">
        <v>168</v>
      </c>
      <c r="H13" s="34" t="s">
        <v>167</v>
      </c>
      <c r="I13" s="57" t="s">
        <v>312</v>
      </c>
      <c r="J13" s="37" t="s">
        <v>313</v>
      </c>
      <c r="K13" s="56"/>
      <c r="L13" s="36" t="s">
        <v>153</v>
      </c>
      <c r="M13" s="82" t="s">
        <v>310</v>
      </c>
    </row>
    <row r="14" spans="2:13" ht="45" x14ac:dyDescent="0.25">
      <c r="B14" s="61">
        <v>11</v>
      </c>
      <c r="C14" s="52">
        <v>45863</v>
      </c>
      <c r="D14" s="34" t="s">
        <v>468</v>
      </c>
      <c r="E14" s="151">
        <v>0.51041666666666663</v>
      </c>
      <c r="F14" s="34" t="s">
        <v>469</v>
      </c>
      <c r="G14" s="34" t="s">
        <v>470</v>
      </c>
      <c r="H14" s="34" t="s">
        <v>469</v>
      </c>
      <c r="I14" s="57" t="s">
        <v>471</v>
      </c>
      <c r="J14" s="57" t="s">
        <v>472</v>
      </c>
      <c r="K14" s="56"/>
      <c r="L14" s="34" t="s">
        <v>224</v>
      </c>
      <c r="M14" s="58" t="s">
        <v>473</v>
      </c>
    </row>
    <row r="15" spans="2:13" ht="60" x14ac:dyDescent="0.25">
      <c r="B15" s="61">
        <v>12</v>
      </c>
      <c r="C15" s="147">
        <v>45868</v>
      </c>
      <c r="D15" s="34" t="s">
        <v>517</v>
      </c>
      <c r="E15" s="59">
        <v>5.2083333333333336E-2</v>
      </c>
      <c r="F15" s="34" t="s">
        <v>518</v>
      </c>
      <c r="G15" s="34" t="s">
        <v>519</v>
      </c>
      <c r="H15" s="34" t="s">
        <v>469</v>
      </c>
      <c r="I15" s="54" t="s">
        <v>520</v>
      </c>
      <c r="J15" s="37" t="s">
        <v>521</v>
      </c>
      <c r="K15" s="34"/>
      <c r="L15" s="34" t="s">
        <v>186</v>
      </c>
      <c r="M15" s="150" t="s">
        <v>516</v>
      </c>
    </row>
    <row r="16" spans="2:13" ht="75" x14ac:dyDescent="0.25">
      <c r="B16" s="61">
        <v>13</v>
      </c>
      <c r="C16" s="52">
        <v>45888</v>
      </c>
      <c r="D16" s="56" t="s">
        <v>650</v>
      </c>
      <c r="E16" s="53">
        <v>0.53472222222222221</v>
      </c>
      <c r="F16" s="34" t="s">
        <v>518</v>
      </c>
      <c r="G16" s="34" t="s">
        <v>519</v>
      </c>
      <c r="H16" s="34" t="s">
        <v>469</v>
      </c>
      <c r="I16" s="57" t="s">
        <v>651</v>
      </c>
      <c r="J16" s="37" t="s">
        <v>652</v>
      </c>
      <c r="K16" s="58"/>
      <c r="L16" s="34" t="s">
        <v>224</v>
      </c>
      <c r="M16" s="150" t="s">
        <v>648</v>
      </c>
    </row>
    <row r="17" spans="2:13" ht="135" x14ac:dyDescent="0.25">
      <c r="B17" s="61">
        <v>14</v>
      </c>
      <c r="C17" s="52">
        <v>45902</v>
      </c>
      <c r="D17" s="34" t="s">
        <v>667</v>
      </c>
      <c r="E17" s="53">
        <v>0.17708333333333334</v>
      </c>
      <c r="F17" s="34" t="s">
        <v>469</v>
      </c>
      <c r="G17" s="34" t="s">
        <v>669</v>
      </c>
      <c r="H17" s="34" t="s">
        <v>469</v>
      </c>
      <c r="I17" s="48" t="s">
        <v>670</v>
      </c>
      <c r="J17" s="49" t="s">
        <v>668</v>
      </c>
      <c r="K17" s="36"/>
      <c r="L17" s="34" t="s">
        <v>224</v>
      </c>
      <c r="M17" s="150" t="s">
        <v>666</v>
      </c>
    </row>
    <row r="18" spans="2:13" ht="45" x14ac:dyDescent="0.25">
      <c r="B18" s="61">
        <v>15</v>
      </c>
      <c r="C18" s="76">
        <v>45923</v>
      </c>
      <c r="D18" s="34" t="s">
        <v>183</v>
      </c>
      <c r="E18" s="72">
        <v>0.28819444444444448</v>
      </c>
      <c r="F18" s="49" t="s">
        <v>167</v>
      </c>
      <c r="G18" s="49" t="s">
        <v>676</v>
      </c>
      <c r="H18" s="49" t="s">
        <v>677</v>
      </c>
      <c r="I18" s="49" t="s">
        <v>678</v>
      </c>
      <c r="J18" s="49" t="s">
        <v>679</v>
      </c>
      <c r="K18" s="49"/>
      <c r="L18" s="36" t="s">
        <v>186</v>
      </c>
      <c r="M18" s="150" t="s">
        <v>680</v>
      </c>
    </row>
    <row r="19" spans="2:13" ht="45" x14ac:dyDescent="0.25">
      <c r="B19" s="61">
        <v>16</v>
      </c>
      <c r="C19" s="76">
        <v>45928</v>
      </c>
      <c r="D19" s="49" t="s">
        <v>688</v>
      </c>
      <c r="E19" s="72">
        <v>0.59027777777777779</v>
      </c>
      <c r="F19" s="49" t="s">
        <v>167</v>
      </c>
      <c r="G19" s="49" t="s">
        <v>676</v>
      </c>
      <c r="H19" s="49" t="s">
        <v>167</v>
      </c>
      <c r="I19" s="54" t="s">
        <v>689</v>
      </c>
      <c r="J19" s="54" t="s">
        <v>690</v>
      </c>
      <c r="K19" s="49"/>
      <c r="L19" s="34" t="s">
        <v>224</v>
      </c>
      <c r="M19" s="150" t="s">
        <v>687</v>
      </c>
    </row>
    <row r="20" spans="2:13" ht="45" x14ac:dyDescent="0.25">
      <c r="B20" s="61">
        <v>17</v>
      </c>
      <c r="C20" s="76">
        <v>45936</v>
      </c>
      <c r="D20" s="49" t="s">
        <v>692</v>
      </c>
      <c r="E20" s="72">
        <v>0.37013888888888885</v>
      </c>
      <c r="F20" s="49" t="s">
        <v>167</v>
      </c>
      <c r="G20" s="49" t="s">
        <v>676</v>
      </c>
      <c r="H20" s="49" t="s">
        <v>167</v>
      </c>
      <c r="I20" s="54" t="s">
        <v>693</v>
      </c>
      <c r="J20" s="49" t="s">
        <v>694</v>
      </c>
      <c r="K20" s="49"/>
      <c r="L20" s="49" t="s">
        <v>153</v>
      </c>
      <c r="M20" s="150" t="s">
        <v>691</v>
      </c>
    </row>
    <row r="21" spans="2:13" ht="90" x14ac:dyDescent="0.25">
      <c r="B21" s="61">
        <v>18</v>
      </c>
      <c r="C21" s="76">
        <v>45938</v>
      </c>
      <c r="D21" s="49" t="s">
        <v>239</v>
      </c>
      <c r="E21" s="50">
        <v>0.27083333333333331</v>
      </c>
      <c r="F21" s="49" t="s">
        <v>167</v>
      </c>
      <c r="G21" s="49" t="s">
        <v>676</v>
      </c>
      <c r="H21" s="49" t="s">
        <v>221</v>
      </c>
      <c r="I21" s="37" t="s">
        <v>181</v>
      </c>
      <c r="J21" s="37" t="s">
        <v>716</v>
      </c>
      <c r="K21" s="49"/>
      <c r="L21" s="49" t="s">
        <v>153</v>
      </c>
      <c r="M21" s="150" t="s">
        <v>684</v>
      </c>
    </row>
    <row r="22" spans="2:13" ht="63.75" customHeight="1" x14ac:dyDescent="0.25">
      <c r="B22" s="61">
        <v>19</v>
      </c>
      <c r="C22" s="76">
        <v>45955</v>
      </c>
      <c r="D22" s="49" t="s">
        <v>239</v>
      </c>
      <c r="E22" s="50">
        <v>0.4548611111111111</v>
      </c>
      <c r="F22" s="49" t="s">
        <v>167</v>
      </c>
      <c r="G22" s="49" t="s">
        <v>676</v>
      </c>
      <c r="H22" s="49" t="s">
        <v>221</v>
      </c>
      <c r="I22" s="37" t="s">
        <v>181</v>
      </c>
      <c r="J22" s="37" t="s">
        <v>701</v>
      </c>
      <c r="K22" s="49"/>
      <c r="L22" s="34" t="s">
        <v>224</v>
      </c>
      <c r="M22" s="82" t="s">
        <v>700</v>
      </c>
    </row>
    <row r="23" spans="2:13" ht="63.75" customHeight="1" x14ac:dyDescent="0.25">
      <c r="B23" s="61">
        <v>20</v>
      </c>
      <c r="C23" s="76">
        <v>45961</v>
      </c>
      <c r="D23" s="49" t="s">
        <v>707</v>
      </c>
      <c r="E23" s="72">
        <v>0.59027777777777779</v>
      </c>
      <c r="F23" s="50" t="s">
        <v>518</v>
      </c>
      <c r="G23" s="49" t="s">
        <v>470</v>
      </c>
      <c r="H23" s="49" t="s">
        <v>469</v>
      </c>
      <c r="I23" s="57" t="s">
        <v>709</v>
      </c>
      <c r="J23" s="37" t="s">
        <v>182</v>
      </c>
      <c r="K23" s="49"/>
      <c r="L23" s="36" t="s">
        <v>186</v>
      </c>
      <c r="M23" s="82" t="s">
        <v>708</v>
      </c>
    </row>
    <row r="24" spans="2:13" ht="45" x14ac:dyDescent="0.25">
      <c r="B24" s="61">
        <v>21</v>
      </c>
      <c r="C24" s="76">
        <v>45965</v>
      </c>
      <c r="D24" s="49" t="s">
        <v>718</v>
      </c>
      <c r="E24" s="50">
        <v>0.69374999999999998</v>
      </c>
      <c r="F24" s="49" t="s">
        <v>221</v>
      </c>
      <c r="G24" s="49" t="s">
        <v>676</v>
      </c>
      <c r="H24" s="49" t="s">
        <v>167</v>
      </c>
      <c r="I24" s="37" t="s">
        <v>181</v>
      </c>
      <c r="J24" s="37" t="s">
        <v>719</v>
      </c>
      <c r="K24" s="49"/>
      <c r="L24" s="36" t="s">
        <v>186</v>
      </c>
      <c r="M24" s="82" t="s">
        <v>717</v>
      </c>
    </row>
    <row r="25" spans="2:13" x14ac:dyDescent="0.25">
      <c r="B25" s="61"/>
      <c r="C25" s="76"/>
      <c r="D25" s="49"/>
      <c r="E25" s="50"/>
      <c r="F25" s="49"/>
      <c r="G25" s="49"/>
      <c r="H25" s="49"/>
      <c r="I25" s="57"/>
      <c r="J25" s="49"/>
      <c r="K25" s="49"/>
      <c r="L25" s="49"/>
      <c r="M25" s="95"/>
    </row>
    <row r="26" spans="2:13" x14ac:dyDescent="0.25">
      <c r="B26" s="61"/>
      <c r="C26" s="76"/>
      <c r="D26" s="49"/>
      <c r="E26" s="50"/>
      <c r="F26" s="49"/>
      <c r="G26" s="49"/>
      <c r="H26" s="49"/>
      <c r="I26" s="49"/>
      <c r="J26" s="49"/>
      <c r="K26" s="49"/>
      <c r="L26" s="49"/>
      <c r="M26" s="95"/>
    </row>
    <row r="27" spans="2:13" x14ac:dyDescent="0.25">
      <c r="B27" s="61"/>
      <c r="C27" s="76"/>
      <c r="D27" s="49"/>
      <c r="E27" s="50"/>
      <c r="F27" s="49"/>
      <c r="G27" s="49"/>
      <c r="H27" s="49"/>
      <c r="I27" s="49"/>
      <c r="J27" s="55"/>
      <c r="K27" s="49"/>
      <c r="L27" s="49"/>
      <c r="M27" s="95"/>
    </row>
    <row r="28" spans="2:13" x14ac:dyDescent="0.25">
      <c r="B28" s="61"/>
      <c r="C28" s="76"/>
      <c r="D28" s="49"/>
      <c r="E28" s="50"/>
      <c r="F28" s="49"/>
      <c r="G28" s="49"/>
      <c r="H28" s="49"/>
      <c r="I28" s="49"/>
      <c r="J28" s="49"/>
      <c r="K28" s="49"/>
      <c r="L28" s="49"/>
      <c r="M28" s="96"/>
    </row>
    <row r="29" spans="2:13" x14ac:dyDescent="0.25">
      <c r="B29" s="61"/>
      <c r="C29" s="76"/>
      <c r="D29" s="49"/>
      <c r="E29" s="50"/>
      <c r="F29" s="49"/>
      <c r="G29" s="49"/>
      <c r="H29" s="49"/>
      <c r="I29" s="49"/>
      <c r="J29" s="37"/>
      <c r="K29" s="49"/>
      <c r="L29" s="49"/>
      <c r="M29" s="96"/>
    </row>
    <row r="30" spans="2:13" x14ac:dyDescent="0.25">
      <c r="B30" s="61"/>
      <c r="C30" s="76"/>
      <c r="D30" s="49"/>
      <c r="E30" s="50"/>
      <c r="F30" s="49"/>
      <c r="G30" s="49"/>
      <c r="H30" s="49"/>
      <c r="I30" s="49"/>
      <c r="J30" s="49"/>
      <c r="K30" s="49"/>
      <c r="L30" s="49"/>
      <c r="M30" s="96"/>
    </row>
    <row r="31" spans="2:13" x14ac:dyDescent="0.25">
      <c r="B31" s="61"/>
      <c r="C31" s="76"/>
      <c r="D31" s="49"/>
      <c r="E31" s="50"/>
      <c r="F31" s="49"/>
      <c r="G31" s="49"/>
      <c r="H31" s="49"/>
      <c r="I31" s="49"/>
      <c r="J31" s="37"/>
      <c r="K31" s="49"/>
      <c r="L31" s="49"/>
      <c r="M31" s="96"/>
    </row>
    <row r="32" spans="2:13" x14ac:dyDescent="0.25">
      <c r="B32" s="61"/>
      <c r="C32" s="76"/>
      <c r="D32" s="49"/>
      <c r="E32" s="72"/>
      <c r="F32" s="49"/>
      <c r="G32" s="49"/>
      <c r="H32" s="49"/>
      <c r="I32" s="49"/>
      <c r="J32" s="37"/>
      <c r="K32" s="49"/>
      <c r="L32" s="49"/>
      <c r="M32" s="96"/>
    </row>
    <row r="33" spans="2:13" x14ac:dyDescent="0.25">
      <c r="B33" s="61"/>
      <c r="C33" s="76"/>
      <c r="D33" s="49"/>
      <c r="E33" s="72"/>
      <c r="F33" s="49"/>
      <c r="G33" s="49"/>
      <c r="H33" s="49"/>
      <c r="I33" s="49"/>
      <c r="J33" s="37"/>
      <c r="K33" s="49"/>
      <c r="L33" s="49"/>
      <c r="M33" s="51"/>
    </row>
    <row r="34" spans="2:13" ht="15.75" x14ac:dyDescent="0.25">
      <c r="B34" s="61"/>
      <c r="C34" s="76"/>
      <c r="D34" s="49"/>
      <c r="E34" s="50"/>
      <c r="F34" s="49"/>
      <c r="G34" s="49"/>
      <c r="H34" s="49"/>
      <c r="I34" s="49"/>
      <c r="J34" s="49"/>
      <c r="K34" s="49"/>
      <c r="L34" s="49"/>
      <c r="M34" s="77"/>
    </row>
    <row r="35" spans="2:13" ht="15.75" x14ac:dyDescent="0.25">
      <c r="B35" s="61"/>
      <c r="C35" s="76"/>
      <c r="D35" s="49"/>
      <c r="E35" s="50"/>
      <c r="F35" s="49"/>
      <c r="G35" s="49"/>
      <c r="H35" s="49"/>
      <c r="I35" s="49"/>
      <c r="J35" s="49"/>
      <c r="K35" s="49"/>
      <c r="L35" s="49"/>
      <c r="M35" s="77"/>
    </row>
    <row r="36" spans="2:13" ht="15.75" x14ac:dyDescent="0.25">
      <c r="B36" s="61"/>
      <c r="C36" s="76"/>
      <c r="D36" s="49"/>
      <c r="E36" s="50"/>
      <c r="F36" s="49"/>
      <c r="G36" s="49"/>
      <c r="H36" s="49"/>
      <c r="I36" s="49"/>
      <c r="J36" s="49"/>
      <c r="K36" s="49"/>
      <c r="L36" s="49"/>
      <c r="M36" s="77"/>
    </row>
    <row r="37" spans="2:13" ht="15.75" x14ac:dyDescent="0.25">
      <c r="B37" s="61"/>
      <c r="C37" s="76"/>
      <c r="D37" s="49"/>
      <c r="E37" s="50"/>
      <c r="F37" s="49"/>
      <c r="G37" s="49"/>
      <c r="H37" s="49"/>
      <c r="I37" s="49"/>
      <c r="J37" s="57"/>
      <c r="K37" s="49"/>
      <c r="L37" s="49"/>
      <c r="M37" s="77"/>
    </row>
    <row r="38" spans="2:13" ht="15.75" x14ac:dyDescent="0.25">
      <c r="B38" s="61"/>
      <c r="C38" s="76"/>
      <c r="D38" s="49"/>
      <c r="E38" s="50"/>
      <c r="F38" s="49"/>
      <c r="G38" s="49"/>
      <c r="H38" s="49"/>
      <c r="I38" s="49"/>
      <c r="J38" s="57"/>
      <c r="K38" s="49"/>
      <c r="L38" s="49"/>
      <c r="M38" s="77"/>
    </row>
    <row r="39" spans="2:13" x14ac:dyDescent="0.25">
      <c r="B39" s="61"/>
      <c r="C39" s="76"/>
      <c r="D39" s="49"/>
      <c r="E39" s="50"/>
      <c r="F39" s="49"/>
      <c r="G39" s="49"/>
      <c r="H39" s="49"/>
      <c r="I39" s="49"/>
      <c r="J39" s="51"/>
      <c r="K39" s="49"/>
      <c r="L39" s="49"/>
      <c r="M39" s="51"/>
    </row>
    <row r="40" spans="2:13" x14ac:dyDescent="0.25">
      <c r="B40" s="61"/>
      <c r="C40" s="76"/>
      <c r="D40" s="34"/>
      <c r="E40" s="50"/>
      <c r="F40" s="49"/>
      <c r="G40" s="49"/>
      <c r="H40" s="49"/>
      <c r="I40" s="49"/>
      <c r="J40" s="49"/>
      <c r="K40" s="49"/>
      <c r="L40" s="49"/>
      <c r="M40" s="51"/>
    </row>
    <row r="41" spans="2:13" x14ac:dyDescent="0.25">
      <c r="B41" s="61"/>
      <c r="C41" s="76"/>
      <c r="D41" s="34"/>
      <c r="E41" s="50"/>
      <c r="F41" s="49"/>
      <c r="G41" s="49"/>
      <c r="H41" s="49"/>
      <c r="I41" s="49"/>
      <c r="J41" s="49"/>
      <c r="K41" s="49"/>
      <c r="L41" s="49"/>
      <c r="M41" s="51"/>
    </row>
    <row r="42" spans="2:13" x14ac:dyDescent="0.25">
      <c r="B42" s="61">
        <v>37</v>
      </c>
      <c r="C42" s="49"/>
      <c r="D42" s="49"/>
      <c r="E42" s="49"/>
      <c r="F42" s="49"/>
      <c r="G42" s="49"/>
      <c r="H42" s="49"/>
      <c r="I42" s="49"/>
      <c r="J42" s="49"/>
      <c r="K42" s="49"/>
      <c r="L42" s="49"/>
      <c r="M42" s="51"/>
    </row>
    <row r="43" spans="2:13" x14ac:dyDescent="0.25">
      <c r="B43" s="61">
        <v>38</v>
      </c>
      <c r="C43" s="49"/>
      <c r="D43" s="49"/>
      <c r="E43" s="49"/>
      <c r="F43" s="49"/>
      <c r="G43" s="49"/>
      <c r="H43" s="49"/>
      <c r="I43" s="49"/>
      <c r="J43" s="49"/>
      <c r="K43" s="49"/>
      <c r="L43" s="49"/>
      <c r="M43" s="51"/>
    </row>
    <row r="44" spans="2:13" x14ac:dyDescent="0.25">
      <c r="B44" s="61">
        <v>39</v>
      </c>
      <c r="C44" s="49"/>
      <c r="D44" s="49"/>
      <c r="E44" s="49"/>
      <c r="F44" s="49"/>
      <c r="G44" s="49"/>
      <c r="H44" s="49"/>
      <c r="I44" s="49"/>
      <c r="J44" s="49"/>
      <c r="K44" s="49"/>
      <c r="L44" s="49"/>
      <c r="M44" s="51"/>
    </row>
  </sheetData>
  <autoFilter ref="C3:M44">
    <filterColumn colId="3" showButton="0"/>
  </autoFilter>
  <mergeCells count="4">
    <mergeCell ref="B1:D1"/>
    <mergeCell ref="E1:K1"/>
    <mergeCell ref="L1:M1"/>
    <mergeCell ref="F3:G3"/>
  </mergeCells>
  <pageMargins left="0.7" right="0.7" top="0.75" bottom="0.75" header="0.3" footer="0.3"/>
  <pageSetup scale="3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
  <sheetViews>
    <sheetView zoomScale="89" zoomScaleNormal="89" workbookViewId="0">
      <selection activeCell="O12" sqref="O12"/>
    </sheetView>
  </sheetViews>
  <sheetFormatPr defaultRowHeight="15" x14ac:dyDescent="0.25"/>
  <cols>
    <col min="1" max="1" width="2.28515625" customWidth="1"/>
    <col min="2" max="2" width="11.85546875" customWidth="1"/>
    <col min="3" max="3" width="15.85546875" customWidth="1"/>
    <col min="4" max="4" width="29.28515625" customWidth="1"/>
    <col min="5" max="5" width="8.85546875" customWidth="1"/>
    <col min="6" max="6" width="11.140625" customWidth="1"/>
    <col min="7" max="7" width="7.7109375" customWidth="1"/>
    <col min="8" max="8" width="13.28515625" customWidth="1"/>
    <col min="9" max="9" width="8.5703125" customWidth="1"/>
    <col min="10" max="10" width="11" customWidth="1"/>
    <col min="11" max="11" width="8.28515625" customWidth="1"/>
    <col min="12" max="12" width="11.28515625" customWidth="1"/>
    <col min="13" max="13" width="7.28515625" customWidth="1"/>
    <col min="14" max="14" width="14.7109375" customWidth="1"/>
    <col min="15" max="15" width="10.5703125" customWidth="1"/>
    <col min="16" max="16" width="17" customWidth="1"/>
    <col min="17" max="17" width="18.5703125" customWidth="1"/>
  </cols>
  <sheetData>
    <row r="1" spans="1:17" ht="81" customHeight="1" thickBot="1" x14ac:dyDescent="0.3">
      <c r="A1" t="s">
        <v>65</v>
      </c>
      <c r="B1" s="287"/>
      <c r="C1" s="288"/>
      <c r="D1" s="288"/>
      <c r="E1" s="297" t="s">
        <v>81</v>
      </c>
      <c r="F1" s="298"/>
      <c r="G1" s="298"/>
      <c r="H1" s="298"/>
      <c r="I1" s="298"/>
      <c r="J1" s="298"/>
      <c r="K1" s="299"/>
      <c r="L1" s="300" t="s">
        <v>35</v>
      </c>
      <c r="M1" s="301"/>
      <c r="N1" s="301"/>
      <c r="O1" s="301"/>
      <c r="P1" s="301"/>
      <c r="Q1" s="302"/>
    </row>
    <row r="2" spans="1:17" ht="20.25" customHeight="1" thickBot="1" x14ac:dyDescent="0.3">
      <c r="B2" s="293" t="s">
        <v>66</v>
      </c>
      <c r="C2" s="293" t="s">
        <v>67</v>
      </c>
      <c r="D2" s="291" t="s">
        <v>68</v>
      </c>
      <c r="E2" s="289" t="s">
        <v>69</v>
      </c>
      <c r="F2" s="290"/>
      <c r="G2" s="291"/>
      <c r="H2" s="296"/>
      <c r="I2" s="291" t="s">
        <v>70</v>
      </c>
      <c r="J2" s="291"/>
      <c r="K2" s="291"/>
      <c r="L2" s="291"/>
      <c r="M2" s="289" t="s">
        <v>7</v>
      </c>
      <c r="N2" s="290"/>
      <c r="O2" s="290"/>
      <c r="P2" s="290"/>
      <c r="Q2" s="285" t="s">
        <v>71</v>
      </c>
    </row>
    <row r="3" spans="1:17" ht="39.75" customHeight="1" thickBot="1" x14ac:dyDescent="0.3">
      <c r="B3" s="295"/>
      <c r="C3" s="294"/>
      <c r="D3" s="292"/>
      <c r="E3" s="1" t="s">
        <v>72</v>
      </c>
      <c r="F3" s="2" t="s">
        <v>73</v>
      </c>
      <c r="G3" s="3" t="s">
        <v>74</v>
      </c>
      <c r="H3" s="4" t="s">
        <v>75</v>
      </c>
      <c r="I3" s="1" t="s">
        <v>72</v>
      </c>
      <c r="J3" s="1" t="s">
        <v>73</v>
      </c>
      <c r="K3" s="3" t="s">
        <v>74</v>
      </c>
      <c r="L3" s="3" t="s">
        <v>75</v>
      </c>
      <c r="M3" s="93" t="s">
        <v>15</v>
      </c>
      <c r="N3" s="94" t="s">
        <v>76</v>
      </c>
      <c r="O3" s="94" t="s">
        <v>77</v>
      </c>
      <c r="P3" s="93" t="s">
        <v>9</v>
      </c>
      <c r="Q3" s="286"/>
    </row>
    <row r="4" spans="1:17" ht="47.25" x14ac:dyDescent="0.25">
      <c r="B4" s="74" t="s">
        <v>161</v>
      </c>
      <c r="C4" s="75">
        <v>45679</v>
      </c>
      <c r="D4" s="26" t="s">
        <v>113</v>
      </c>
      <c r="E4" s="40" t="s">
        <v>114</v>
      </c>
      <c r="F4" s="40">
        <v>1</v>
      </c>
      <c r="G4" s="115" t="s">
        <v>115</v>
      </c>
      <c r="H4" s="116" t="s">
        <v>116</v>
      </c>
      <c r="I4" s="44" t="s">
        <v>117</v>
      </c>
      <c r="J4" s="44" t="s">
        <v>117</v>
      </c>
      <c r="K4" s="44" t="s">
        <v>117</v>
      </c>
      <c r="L4" s="44" t="s">
        <v>117</v>
      </c>
      <c r="M4" s="44" t="s">
        <v>111</v>
      </c>
      <c r="N4" s="86">
        <v>45711</v>
      </c>
      <c r="O4" s="137">
        <v>45716</v>
      </c>
      <c r="P4" s="44"/>
      <c r="Q4" s="44" t="s">
        <v>118</v>
      </c>
    </row>
    <row r="5" spans="1:17" ht="47.25" x14ac:dyDescent="0.25">
      <c r="B5" s="74" t="s">
        <v>546</v>
      </c>
      <c r="C5" s="75">
        <v>45706</v>
      </c>
      <c r="D5" s="26" t="s">
        <v>543</v>
      </c>
      <c r="E5" s="40" t="s">
        <v>114</v>
      </c>
      <c r="F5" s="40">
        <v>4</v>
      </c>
      <c r="G5" s="166" t="s">
        <v>605</v>
      </c>
      <c r="H5" s="167" t="s">
        <v>606</v>
      </c>
      <c r="I5" s="44" t="s">
        <v>114</v>
      </c>
      <c r="J5" s="44">
        <v>2</v>
      </c>
      <c r="K5" s="115" t="s">
        <v>528</v>
      </c>
      <c r="L5" s="116" t="s">
        <v>116</v>
      </c>
      <c r="M5" s="44" t="s">
        <v>545</v>
      </c>
      <c r="N5" s="86" t="s">
        <v>547</v>
      </c>
      <c r="O5" s="44"/>
      <c r="P5" s="44"/>
      <c r="Q5" s="44" t="s">
        <v>548</v>
      </c>
    </row>
    <row r="6" spans="1:17" ht="63" x14ac:dyDescent="0.25">
      <c r="B6" s="74" t="s">
        <v>549</v>
      </c>
      <c r="C6" s="75">
        <v>45706</v>
      </c>
      <c r="D6" s="26" t="s">
        <v>533</v>
      </c>
      <c r="E6" s="40" t="s">
        <v>114</v>
      </c>
      <c r="F6" s="40">
        <v>1</v>
      </c>
      <c r="G6" s="115" t="s">
        <v>115</v>
      </c>
      <c r="H6" s="116" t="s">
        <v>116</v>
      </c>
      <c r="I6" s="44" t="s">
        <v>117</v>
      </c>
      <c r="J6" s="44" t="s">
        <v>117</v>
      </c>
      <c r="K6" s="44" t="s">
        <v>117</v>
      </c>
      <c r="L6" s="44" t="s">
        <v>117</v>
      </c>
      <c r="M6" s="44" t="s">
        <v>545</v>
      </c>
      <c r="N6" s="86" t="s">
        <v>547</v>
      </c>
      <c r="O6" s="44"/>
      <c r="P6" s="44"/>
      <c r="Q6" s="44" t="s">
        <v>179</v>
      </c>
    </row>
    <row r="7" spans="1:17" ht="70.5" customHeight="1" x14ac:dyDescent="0.25">
      <c r="B7" s="74" t="s">
        <v>550</v>
      </c>
      <c r="C7" s="75">
        <v>45706</v>
      </c>
      <c r="D7" s="26" t="s">
        <v>537</v>
      </c>
      <c r="E7" s="40" t="s">
        <v>114</v>
      </c>
      <c r="F7" s="40">
        <v>2</v>
      </c>
      <c r="G7" s="115" t="s">
        <v>528</v>
      </c>
      <c r="H7" s="116" t="s">
        <v>116</v>
      </c>
      <c r="I7" s="44" t="s">
        <v>117</v>
      </c>
      <c r="J7" s="44" t="s">
        <v>117</v>
      </c>
      <c r="K7" s="44" t="s">
        <v>117</v>
      </c>
      <c r="L7" s="44" t="s">
        <v>117</v>
      </c>
      <c r="M7" s="44" t="s">
        <v>545</v>
      </c>
      <c r="N7" s="86" t="s">
        <v>547</v>
      </c>
      <c r="O7" s="44"/>
      <c r="P7" s="44"/>
      <c r="Q7" s="44" t="s">
        <v>179</v>
      </c>
    </row>
    <row r="8" spans="1:17" ht="31.5" x14ac:dyDescent="0.25">
      <c r="B8" s="74" t="s">
        <v>551</v>
      </c>
      <c r="C8" s="75">
        <v>45706</v>
      </c>
      <c r="D8" s="156" t="s">
        <v>540</v>
      </c>
      <c r="E8" s="40" t="s">
        <v>607</v>
      </c>
      <c r="F8" s="40">
        <v>1</v>
      </c>
      <c r="G8" s="115" t="s">
        <v>608</v>
      </c>
      <c r="H8" s="116" t="s">
        <v>116</v>
      </c>
      <c r="I8" s="44" t="s">
        <v>117</v>
      </c>
      <c r="J8" s="44" t="s">
        <v>117</v>
      </c>
      <c r="K8" s="44" t="s">
        <v>117</v>
      </c>
      <c r="L8" s="44" t="s">
        <v>117</v>
      </c>
      <c r="M8" s="44" t="s">
        <v>15</v>
      </c>
      <c r="N8" s="86" t="s">
        <v>547</v>
      </c>
      <c r="O8" s="44"/>
      <c r="P8" s="44"/>
      <c r="Q8" s="44" t="s">
        <v>552</v>
      </c>
    </row>
    <row r="9" spans="1:17" ht="60" x14ac:dyDescent="0.25">
      <c r="B9" s="85" t="s">
        <v>327</v>
      </c>
      <c r="C9" s="117">
        <v>45716</v>
      </c>
      <c r="D9" s="44" t="s">
        <v>162</v>
      </c>
      <c r="E9" s="40" t="s">
        <v>114</v>
      </c>
      <c r="F9" s="40">
        <v>1</v>
      </c>
      <c r="G9" s="115" t="s">
        <v>115</v>
      </c>
      <c r="H9" s="116" t="s">
        <v>116</v>
      </c>
      <c r="I9" s="44" t="s">
        <v>117</v>
      </c>
      <c r="J9" s="44" t="s">
        <v>117</v>
      </c>
      <c r="K9" s="44" t="s">
        <v>117</v>
      </c>
      <c r="L9" s="44" t="s">
        <v>117</v>
      </c>
      <c r="M9" s="44" t="s">
        <v>111</v>
      </c>
      <c r="N9" s="86">
        <v>45744</v>
      </c>
      <c r="O9" s="86">
        <v>45932</v>
      </c>
      <c r="P9" s="44"/>
      <c r="Q9" s="44" t="s">
        <v>118</v>
      </c>
    </row>
    <row r="10" spans="1:17" ht="30" x14ac:dyDescent="0.25">
      <c r="B10" s="85" t="s">
        <v>529</v>
      </c>
      <c r="C10" s="136">
        <v>45795</v>
      </c>
      <c r="D10" s="44" t="s">
        <v>317</v>
      </c>
      <c r="E10" s="40" t="s">
        <v>114</v>
      </c>
      <c r="F10" s="40">
        <v>1</v>
      </c>
      <c r="G10" s="115" t="s">
        <v>115</v>
      </c>
      <c r="H10" s="116" t="s">
        <v>116</v>
      </c>
      <c r="I10" s="44" t="s">
        <v>117</v>
      </c>
      <c r="J10" s="44" t="s">
        <v>117</v>
      </c>
      <c r="K10" s="44" t="s">
        <v>117</v>
      </c>
      <c r="L10" s="44" t="s">
        <v>117</v>
      </c>
      <c r="M10" s="44" t="s">
        <v>328</v>
      </c>
      <c r="N10" s="86">
        <v>45824</v>
      </c>
      <c r="O10" s="86">
        <v>45816</v>
      </c>
      <c r="P10" s="44"/>
      <c r="Q10" s="44" t="s">
        <v>118</v>
      </c>
    </row>
    <row r="11" spans="1:17" ht="47.25" x14ac:dyDescent="0.25">
      <c r="B11" s="85" t="s">
        <v>530</v>
      </c>
      <c r="C11" s="75">
        <v>45835</v>
      </c>
      <c r="D11" s="30" t="s">
        <v>343</v>
      </c>
      <c r="E11" s="40" t="s">
        <v>114</v>
      </c>
      <c r="F11" s="40">
        <v>1</v>
      </c>
      <c r="G11" s="115" t="s">
        <v>115</v>
      </c>
      <c r="H11" s="116" t="s">
        <v>116</v>
      </c>
      <c r="I11" s="44" t="s">
        <v>117</v>
      </c>
      <c r="J11" s="44" t="s">
        <v>117</v>
      </c>
      <c r="K11" s="44" t="s">
        <v>117</v>
      </c>
      <c r="L11" s="44" t="s">
        <v>117</v>
      </c>
      <c r="M11" s="44" t="s">
        <v>328</v>
      </c>
      <c r="N11" s="137">
        <v>45845</v>
      </c>
      <c r="O11" s="86">
        <v>45851</v>
      </c>
      <c r="P11" s="44"/>
      <c r="Q11" s="44" t="s">
        <v>118</v>
      </c>
    </row>
    <row r="12" spans="1:17" x14ac:dyDescent="0.25">
      <c r="B12" s="85"/>
      <c r="C12" s="44"/>
      <c r="D12" s="44"/>
      <c r="E12" s="40"/>
      <c r="F12" s="40"/>
      <c r="G12" s="40"/>
      <c r="H12" s="44"/>
      <c r="I12" s="44"/>
      <c r="J12" s="44"/>
      <c r="K12" s="44"/>
      <c r="L12" s="44"/>
      <c r="M12" s="44"/>
      <c r="N12" s="44"/>
      <c r="O12" s="44"/>
      <c r="P12" s="44"/>
      <c r="Q12" s="44"/>
    </row>
    <row r="13" spans="1:17" x14ac:dyDescent="0.25">
      <c r="B13" s="85"/>
      <c r="C13" s="44"/>
      <c r="D13" s="44"/>
      <c r="E13" s="40"/>
      <c r="F13" s="40"/>
      <c r="G13" s="40"/>
      <c r="H13" s="44"/>
      <c r="I13" s="44"/>
      <c r="J13" s="44"/>
      <c r="K13" s="44"/>
      <c r="L13" s="44"/>
      <c r="M13" s="44"/>
      <c r="N13" s="44"/>
      <c r="O13" s="44"/>
      <c r="P13" s="44"/>
      <c r="Q13" s="44"/>
    </row>
    <row r="14" spans="1:17" x14ac:dyDescent="0.25">
      <c r="B14" s="85"/>
      <c r="C14" s="44"/>
      <c r="D14" s="44"/>
      <c r="E14" s="40"/>
      <c r="F14" s="40"/>
      <c r="G14" s="40"/>
      <c r="H14" s="44"/>
      <c r="I14" s="44"/>
      <c r="J14" s="44"/>
      <c r="K14" s="44"/>
      <c r="L14" s="44"/>
      <c r="M14" s="44"/>
      <c r="N14" s="44"/>
      <c r="O14" s="44"/>
      <c r="P14" s="44"/>
      <c r="Q14" s="44"/>
    </row>
  </sheetData>
  <mergeCells count="10">
    <mergeCell ref="Q2:Q3"/>
    <mergeCell ref="B1:D1"/>
    <mergeCell ref="M2:P2"/>
    <mergeCell ref="D2:D3"/>
    <mergeCell ref="C2:C3"/>
    <mergeCell ref="B2:B3"/>
    <mergeCell ref="E2:H2"/>
    <mergeCell ref="I2:L2"/>
    <mergeCell ref="E1:K1"/>
    <mergeCell ref="L1:Q1"/>
  </mergeCells>
  <pageMargins left="0.25" right="0.25" top="0.25" bottom="0.25" header="0.25" footer="0.25"/>
  <pageSetup paperSize="9" scale="72" fitToHeight="0" orientation="landscape"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Master logsheet 2025 working</vt:lpstr>
      <vt:lpstr>Occurrence-Log-sheet-2025 </vt:lpstr>
      <vt:lpstr>Safety deficiencies 2025</vt:lpstr>
      <vt:lpstr>Hazard-logsheet-2025</vt:lpstr>
      <vt:lpstr>Flight diversion report-2025</vt:lpstr>
      <vt:lpstr>Risk Register-sheet-2025</vt:lpstr>
      <vt:lpstr>'Occurrence-Log-sheet-2025 '!Print_Titles</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revision/>
  <dcterms:created xsi:type="dcterms:W3CDTF">2006-09-16T00:00:00Z</dcterms:created>
  <dcterms:modified xsi:type="dcterms:W3CDTF">2026-05-17T09:28:52Z</dcterms:modified>
</cp:coreProperties>
</file>