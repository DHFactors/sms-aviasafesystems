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120" yWindow="-120" windowWidth="20730" windowHeight="11760" tabRatio="885" activeTab="2"/>
  </bookViews>
  <sheets>
    <sheet name="Master logsheet 2024 working" sheetId="11" r:id="rId1"/>
    <sheet name="Occurrence-Log-sheet-2024 " sheetId="8" r:id="rId2"/>
    <sheet name="Safety deficiencies 2024" sheetId="13" r:id="rId3"/>
    <sheet name="Hazard-logsheet-2024" sheetId="12" r:id="rId4"/>
    <sheet name="Flight diversion report-2024" sheetId="14" r:id="rId5"/>
    <sheet name="Risk Register-sheet-2024" sheetId="2" r:id="rId6"/>
  </sheets>
  <definedNames>
    <definedName name="_xlnm._FilterDatabase" localSheetId="4" hidden="1">'Flight diversion report-2024'!$C$3:$M$40</definedName>
    <definedName name="_xlnm._FilterDatabase" localSheetId="3" hidden="1">'Hazard-logsheet-2024'!$F$4:$F$14</definedName>
    <definedName name="_xlnm._FilterDatabase" localSheetId="0" hidden="1">'Master logsheet 2024 working'!$L$2:$L$283</definedName>
    <definedName name="_xlnm._FilterDatabase" localSheetId="1" hidden="1">'Occurrence-Log-sheet-2024 '!$H$2:$H$18</definedName>
    <definedName name="_xlnm._FilterDatabase" localSheetId="2" hidden="1">'Safety deficiencies 2024'!$F$4:$F$231</definedName>
    <definedName name="MSN_MoneyCentral_Investor_Currency_Rates" localSheetId="0">'Master logsheet 2024 working'!#REF!</definedName>
    <definedName name="_xlnm.Print_Titles" localSheetId="1">'Occurrence-Log-sheet-2024 '!$1:$3</definedName>
  </definedName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9" i="11" l="1"/>
  <c r="N8" i="11" l="1"/>
  <c r="N37" i="11" l="1"/>
  <c r="N280" i="11"/>
  <c r="N279" i="11"/>
  <c r="N278" i="11"/>
  <c r="N277" i="11"/>
  <c r="N276" i="11"/>
  <c r="N275" i="11"/>
  <c r="N274" i="11"/>
  <c r="N273" i="11"/>
  <c r="N272" i="11"/>
  <c r="N270" i="11"/>
  <c r="N263" i="11"/>
  <c r="N262" i="11"/>
  <c r="N261" i="11"/>
  <c r="N260" i="11"/>
  <c r="N258" i="11"/>
  <c r="N257" i="11"/>
  <c r="N256" i="11"/>
  <c r="N255" i="11"/>
  <c r="N254" i="11"/>
  <c r="N248" i="11"/>
  <c r="N245" i="11"/>
  <c r="N241" i="11"/>
  <c r="N240" i="11"/>
  <c r="N239" i="11"/>
  <c r="N236" i="11"/>
  <c r="N234" i="11" l="1"/>
  <c r="N232" i="11" l="1"/>
  <c r="N227" i="11" l="1"/>
  <c r="N226" i="11"/>
  <c r="N225" i="11" l="1"/>
  <c r="N219" i="11" l="1"/>
  <c r="N212" i="11" l="1"/>
  <c r="N207" i="11"/>
  <c r="N198" i="11" l="1"/>
  <c r="N202" i="11" l="1"/>
  <c r="N203" i="11"/>
  <c r="N204" i="11"/>
  <c r="N165" i="11" l="1"/>
  <c r="N186" i="11"/>
  <c r="N162" i="11" l="1"/>
  <c r="N160" i="11"/>
  <c r="N157" i="11" l="1"/>
  <c r="N152" i="11" l="1"/>
  <c r="N89" i="11" l="1"/>
  <c r="N70" i="11"/>
  <c r="N72" i="11"/>
  <c r="N73" i="11"/>
  <c r="N74" i="11"/>
  <c r="N75" i="11"/>
  <c r="N77" i="11"/>
  <c r="N59" i="11"/>
  <c r="N20" i="11"/>
  <c r="N27" i="11"/>
  <c r="N39" i="11"/>
  <c r="N138" i="11"/>
  <c r="N130" i="11"/>
  <c r="N126" i="11"/>
  <c r="N119" i="11"/>
  <c r="N12" i="11"/>
</calcChain>
</file>

<file path=xl/connections.xml><?xml version="1.0" encoding="utf-8"?>
<connections xmlns="http://schemas.openxmlformats.org/spreadsheetml/2006/main">
  <connection id="1" odcFile="C:\Program Files (x86)\Microsoft Office\Office14\QUERIES\MSN MoneyCentral Investor Currency Rates.iqy" name="MSN MoneyCentral Investor Currency Rates" type="4" refreshedVersion="4" background="1">
    <webPr parsePre="1" consecutive="1" xl2000="1" url="http://moneycentral.msn.com/investor/external/excel/rates.asp" htmlFormat="all"/>
  </connection>
</connections>
</file>

<file path=xl/sharedStrings.xml><?xml version="1.0" encoding="utf-8"?>
<sst xmlns="http://schemas.openxmlformats.org/spreadsheetml/2006/main" count="4569" uniqueCount="1098">
  <si>
    <t>Master  Log sheet File -2024</t>
  </si>
  <si>
    <t>CORPORATE SAFETY DEPARTMENT</t>
  </si>
  <si>
    <t>S.N</t>
  </si>
  <si>
    <t>Reported Date to CSD (dd/mm/yy)</t>
  </si>
  <si>
    <t>Occurance Date of report (dd/mm/yy)</t>
  </si>
  <si>
    <t>Sources of Information</t>
  </si>
  <si>
    <t xml:space="preserve">Report Description   </t>
  </si>
  <si>
    <t xml:space="preserve">Report Classifications </t>
  </si>
  <si>
    <t xml:space="preserve">Status </t>
  </si>
  <si>
    <t>Concerned department/Personnel</t>
  </si>
  <si>
    <t>Remarks</t>
  </si>
  <si>
    <t>OPEN status duration</t>
  </si>
  <si>
    <t xml:space="preserve">Occurrence </t>
  </si>
  <si>
    <t>Hazard</t>
  </si>
  <si>
    <t xml:space="preserve">Safety deficiency </t>
  </si>
  <si>
    <t xml:space="preserve">Diversion </t>
  </si>
  <si>
    <t>VSR</t>
  </si>
  <si>
    <t xml:space="preserve">During KEP TO TAL flight ,due to strong direct Sun Ray's it was very difficult to see outside and couldn't make long final.At short final it was very difficult to see runway, due to encouraging dark shadow after bright light. Sun glare makes it very difficult and judgement was not normal. </t>
  </si>
  <si>
    <t>✔</t>
  </si>
  <si>
    <t>Closed</t>
  </si>
  <si>
    <t>Flight operations</t>
  </si>
  <si>
    <t>On 5th Jan 2024, it was found that passengers at KTM airport was not attended for about 10 minutes. Passengers were on ramp and when ground staff was asked about the same, he replied saying there was no bus.</t>
  </si>
  <si>
    <t>closed</t>
  </si>
  <si>
    <t>Corporate and Business OPS Department</t>
  </si>
  <si>
    <t>During final approach at BJU, bird activity and burned grass/wind during touchdown/flare caused the main landing gear to touch down 5 feet before the paved runway, on burned grass.</t>
  </si>
  <si>
    <t>Open</t>
  </si>
  <si>
    <t>Operations department and ASSD/ CAAN</t>
  </si>
  <si>
    <t>VSR(Go around)</t>
  </si>
  <si>
    <t xml:space="preserve">Go around was done as approach was high and unstable due poor visibility at final runway 26 </t>
  </si>
  <si>
    <t>N/A</t>
  </si>
  <si>
    <t xml:space="preserve">During LUA to KTM flight on 13th Jan 2024, one passenger aged 14 was catagorized as a child passenger. </t>
  </si>
  <si>
    <t>Ground handling department/ Business Ops</t>
  </si>
  <si>
    <t>Expired fire extinguisher placed at Block-B, Sita Air(store side)</t>
  </si>
  <si>
    <t>Corporate and 145 department</t>
  </si>
  <si>
    <t>Flight Diversion Report</t>
  </si>
  <si>
    <t>LUA-KTM flight diverted to RHP due to change in time in VVIP Notam</t>
  </si>
  <si>
    <t>Enquiry was done in the briefing office before the flight and as per them, NOTAM time was same. Flight LUA-KTM was diverted to RHP due to change in NOTAM time.After diversion, when again asked to the briefing office, they replied they were also not known about the change of NOTAM time and knew about it just before.</t>
  </si>
  <si>
    <t>Operations department and ATC/CAAN</t>
  </si>
  <si>
    <t>Lack of proper marshalling technique especially at out station</t>
  </si>
  <si>
    <t>145 engineering and training-eng department</t>
  </si>
  <si>
    <t>Air flow from the seals of the cockpit pax door, results in cold airflow especially diring the winter season in 9N-AHR</t>
  </si>
  <si>
    <t>145 engineering department</t>
  </si>
  <si>
    <t>GPS buttons does not have any marking that are readable on 9N-AHR.</t>
  </si>
  <si>
    <t xml:space="preserve">Crew cordination for training flight is not good </t>
  </si>
  <si>
    <t>Unable to read the GPS markups</t>
  </si>
  <si>
    <t>Cockpit crew are taking tea and coffee inside the cockpit.</t>
  </si>
  <si>
    <t>Black gloves are used while giving signage to the marsheller due to which marshellar cant read them.</t>
  </si>
  <si>
    <t>During start sequence at the aircraft crew disengaged the start-lock while marshallar is in front of the aircraft causing injury due to foreign debris</t>
  </si>
  <si>
    <t>Flight Ops. Department</t>
  </si>
  <si>
    <t>Follow-up safety inspection(KEP)</t>
  </si>
  <si>
    <t>Ground Handling manual was not available at KEP business OPS office.</t>
  </si>
  <si>
    <t>Business OPS Department</t>
  </si>
  <si>
    <t>Component Maintenance Manual( CMM, LG) was not found to be updated with TR-32-14</t>
  </si>
  <si>
    <t>Engineering Department</t>
  </si>
  <si>
    <t>POH DO228 202K(9N-AIE) was not updated with TR 008</t>
  </si>
  <si>
    <t>Propeller Owner's Manual was not updated with the softcopy.</t>
  </si>
  <si>
    <t>MOE Issue 4 TOC doesn’t sync with chapter 1.4.17, 1.4.18 and 1.4.19.</t>
  </si>
  <si>
    <t>Acceptance verification of appointment letter was not available.</t>
  </si>
  <si>
    <t>ID card, pan card of the staffs were not available.</t>
  </si>
  <si>
    <t>Business Operations Department</t>
  </si>
  <si>
    <t>The in charge for the station was not allocated.</t>
  </si>
  <si>
    <t>New staffs were not provided with company indoctrination and ground handling trainings.</t>
  </si>
  <si>
    <t>Business operations Department</t>
  </si>
  <si>
    <t>Separate files for the training were not available.</t>
  </si>
  <si>
    <t>The staffs were not aware with company’s ticketing procedure.</t>
  </si>
  <si>
    <t>The ID card of the staffs at business operations were found expired.</t>
  </si>
  <si>
    <t>Business OPS Department/Corporate Department</t>
  </si>
  <si>
    <t>Retention records were not available.</t>
  </si>
  <si>
    <t>Flight number of load and trim sheet doesn’t match with the manifest.</t>
  </si>
  <si>
    <t>ID card of the staff was available but didn’t match with the appointment letter.</t>
  </si>
  <si>
    <t>Engineering Department /Corporate Department</t>
  </si>
  <si>
    <t>JD of the staffs was not available.</t>
  </si>
  <si>
    <t>Flight Operations/Business Operations/Engineering/Corporate  Department</t>
  </si>
  <si>
    <t>Staff accountable for amendment of manual was not allocated.</t>
  </si>
  <si>
    <t>Firefighting training, NCAR continuation training for technical staff was found to be overdue.</t>
  </si>
  <si>
    <t>Training department- Engineering</t>
  </si>
  <si>
    <t>moniter the deadline of September 2024</t>
  </si>
  <si>
    <t>MOR</t>
  </si>
  <si>
    <t>Regarding Nose wheel flat in 9N-AHR during aircraft landing roll at LUA Airport</t>
  </si>
  <si>
    <t>Engineering department</t>
  </si>
  <si>
    <t>The CAMO department is constantly issuing IOM to maintenance department regarding various departmental affairs, but has not received the response from them neither received any updates on those regards. Some of those memo are from 2023, so it has been a year but response is not made yet.</t>
  </si>
  <si>
    <t>145-Engineeering Maintenance department</t>
  </si>
  <si>
    <t>Flight diversion report</t>
  </si>
  <si>
    <t>KTM-LUA Flight diverted to RHP Due KTM Traffic</t>
  </si>
  <si>
    <t>Diverted to PPl due lua wind</t>
  </si>
  <si>
    <t>KTM-LUA flight diverted to KTM as lukla tower closed for fixed wing due to low cloud ceiling.</t>
  </si>
  <si>
    <t xml:space="preserve">VSR </t>
  </si>
  <si>
    <t>A fellow operator is relaying the aircraft sequence via VHF from the office.</t>
  </si>
  <si>
    <t>NAST/ CAAN</t>
  </si>
  <si>
    <t>KTM-LUA flight diverted to PPL as lukla tower closed for fixed wing due to weather.</t>
  </si>
  <si>
    <t xml:space="preserve">Aircraft encountered gust wind which lead to medium braking action </t>
  </si>
  <si>
    <t>Flight OPERATIONS /Engineering MAINTENANCE</t>
  </si>
  <si>
    <t>KTM-LUA Flight diverted to RHP Due Enroute WX</t>
  </si>
  <si>
    <t>KTM-LUA Flight diverted to RHP Due LUA WX</t>
  </si>
  <si>
    <t>Operation Department</t>
  </si>
  <si>
    <t>RHP-LUA Diverted back to RHP Due LUA WX</t>
  </si>
  <si>
    <t>5-7-04-2024</t>
  </si>
  <si>
    <t>Safety inspection</t>
  </si>
  <si>
    <t>Emergency contact list of local authorities was displayed on the notice board but found not updated.</t>
  </si>
  <si>
    <t>Business Operation</t>
  </si>
  <si>
    <t>repetitive finding special alert</t>
  </si>
  <si>
    <t>Personal record file of station In-charge, Job Description was not maintained.</t>
  </si>
  <si>
    <t>Company Ground handling manual was unavailable.</t>
  </si>
  <si>
    <t>Company Emergency Response Plan (ERP) manual was unavailable.</t>
  </si>
  <si>
    <t>Safety inspection  (Rammechhap)</t>
  </si>
  <si>
    <t>Manpower working at RHP station doesn’t link up with company corporate policy and procedures.</t>
  </si>
  <si>
    <t>Business Operation/ Corporate Department</t>
  </si>
  <si>
    <t>Company Dangerous Goods manual was unavailable.</t>
  </si>
  <si>
    <t>Lack of practical training in Passenger handling by Ground Staff.</t>
  </si>
  <si>
    <t>25 may follow up</t>
  </si>
  <si>
    <t xml:space="preserve">Not have been trained for First aid and emergency action. </t>
  </si>
  <si>
    <t>Staff Attendance record was not been maintained.</t>
  </si>
  <si>
    <t>Training record of station In- charge was not been maintained.</t>
  </si>
  <si>
    <t>Requisition record was not recorded.</t>
  </si>
  <si>
    <t>open</t>
  </si>
  <si>
    <t>Use of old ID card by employee working there.</t>
  </si>
  <si>
    <t>Baggage weighing was available however calibration was not done.</t>
  </si>
  <si>
    <t>Fire extinguisher and first aid kit was not available at Operation Unit and RHP Ground operation Office</t>
  </si>
  <si>
    <t>Airport operation has reported that Nonstandard baggage handling was haphazard before few days</t>
  </si>
  <si>
    <t>Cargo log book was not maintained</t>
  </si>
  <si>
    <t>Employee working at check-in counter is not aware with the Dangerous Goods reject procedures.</t>
  </si>
  <si>
    <t>CA Nepal’s circular and directives were not maintained.</t>
  </si>
  <si>
    <t>145-Engineering</t>
  </si>
  <si>
    <t>Recommendations of safety investigation regarding the use of safety boots were not maintained.</t>
  </si>
  <si>
    <t>145-Engineering/Corporate</t>
  </si>
  <si>
    <t>Training on operation of GSE was not fulfilled which was recommendation of safety investigation</t>
  </si>
  <si>
    <t>Emergency phone list at line office of RHP was not maintained.</t>
  </si>
  <si>
    <t xml:space="preserve">145-Engineering </t>
  </si>
  <si>
    <t>Duty engineer of that day failed to doesn’t display Firefighting training record.</t>
  </si>
  <si>
    <t>Consumable material records maintained at RHP was not been properly maintained</t>
  </si>
  <si>
    <t xml:space="preserve">Breathalyzer test of CA Staff was not maintained </t>
  </si>
  <si>
    <t>Documents as per MOE 2.8.1.3 where updated Maintenance data shall be maintained in a dedicated laptop which was available but not updated with latest available copy.</t>
  </si>
  <si>
    <t>Contingency management of manpower planning for RHP airport shall be maintained</t>
  </si>
  <si>
    <t xml:space="preserve">Nonstandard use of airport code on Operational Flight Plan by the Flight Crew </t>
  </si>
  <si>
    <r>
      <t xml:space="preserve">Flight  </t>
    </r>
    <r>
      <rPr>
        <sz val="12"/>
        <color theme="1"/>
        <rFont val="Times New Roman"/>
        <family val="1"/>
      </rPr>
      <t>Operation</t>
    </r>
  </si>
  <si>
    <t>Operational Flight Plan was not signed by Flight Crew on base returning copy</t>
  </si>
  <si>
    <t>Operational Flight Plan was not updated with latest company name, Sita Air Ltd.</t>
  </si>
  <si>
    <t>Aircraft weight report was not available on control form</t>
  </si>
  <si>
    <t>Dispatch release checklist was not filled by Flight Crew on some of the previously flown flights</t>
  </si>
  <si>
    <t>Safety inspection (Lukla)</t>
  </si>
  <si>
    <t>Business Operations</t>
  </si>
  <si>
    <t>Company security manual(AVSEC) was unavailable</t>
  </si>
  <si>
    <t>Business Operations \AVSEC</t>
  </si>
  <si>
    <t>Emergency contact list of station was not maintained</t>
  </si>
  <si>
    <t>Cargo manifest not available however cargo was flown from LUA on different Aid</t>
  </si>
  <si>
    <t>Training record of the staff wete not satisfactorily maintained</t>
  </si>
  <si>
    <t>Station managers ID Card conflicts with previously provided authority</t>
  </si>
  <si>
    <t>Aircraft was  marshaled to the bay but person involving was noy trained on the same</t>
  </si>
  <si>
    <t>Engineering department/ Corporate Department</t>
  </si>
  <si>
    <t>Personal file of employee was maintained but that doesn't satisfactorily maintained</t>
  </si>
  <si>
    <t>Safety inspection VNRC</t>
  </si>
  <si>
    <t>CAAN</t>
  </si>
  <si>
    <t>Forwarded to CAAN</t>
  </si>
  <si>
    <t>Bird activities within the vicinity of aerodome, recommended for additional bird screening</t>
  </si>
  <si>
    <t>Goat farm near apron which may lead for incursion</t>
  </si>
  <si>
    <t>VNRC aerodome doesn’t follow separate AEP, Resommended for airport specific AEP</t>
  </si>
  <si>
    <t>Rammechhap airport serves as a fueling station where at aonce three aviation browser are available and six to seven aircraft are operating on daily basis whereas aerodome have only one high pressure fire vehicle, recommended to maintain fire vehicle</t>
  </si>
  <si>
    <t>According to FOR 19.1 and aircraft shall not be refuled or derefuled at an aerodome within 15mtr of a buillding , here aircraft parked on bay no. 7 doesn’t meet the fueling requirement</t>
  </si>
  <si>
    <t>Airport doesn’t have safety officer</t>
  </si>
  <si>
    <t>Airport doesn’t have safety reporting box visible and maintained</t>
  </si>
  <si>
    <t>Aerodome has not maintained medical services to initiate first aid during any emergency</t>
  </si>
  <si>
    <t>Safety inspection VNLK</t>
  </si>
  <si>
    <t>Security screening for passenger entering the aerodome building have potetial threat on security</t>
  </si>
  <si>
    <t>Parking of aircraft must be parallel to the dead line and nose wheel</t>
  </si>
  <si>
    <t>Fencing of Lukla airport is low which also have hostory of animal activities on the RWY, increasing the fencing height may create obstacle for the aircraft therefore  recommended to conduct MOC and proper SRM before implementing any changes on fence</t>
  </si>
  <si>
    <t>RHP-LUA Diverted back to RHP Due LUA WX (fl no AIE)</t>
  </si>
  <si>
    <t>RHP-LUA Diverted back to RHP Due LUA WX (FL NO CHT_</t>
  </si>
  <si>
    <t>KEP-BJU Diverted to KEP due BJU WX</t>
  </si>
  <si>
    <t>RHP-LUA Diverted back to RHP Due cockpit door inward opening window broken</t>
  </si>
  <si>
    <t>Engineer/Operation Department</t>
  </si>
  <si>
    <t>19-04-2024</t>
  </si>
  <si>
    <t>During KTM-LUA flt GPS was not working so it was difficult to figure out the position, due to GPS not functioning</t>
  </si>
  <si>
    <t>Engineering department/ Line engineer/ Flight Operations department</t>
  </si>
  <si>
    <t>KTM-LUA flt diverted to RHP due KTM Traffic inbound to LUA diverted due enroute WX</t>
  </si>
  <si>
    <t>RHP-LUA Flt diverted to RHP, unable to maintain VFR</t>
  </si>
  <si>
    <t>Safety audit (FOQA)</t>
  </si>
  <si>
    <t>Dispatchers training tracking developed and maintained but not maintained as per the Dispatch manual.</t>
  </si>
  <si>
    <t>Non-standard use of code in Recurrence Training program.</t>
  </si>
  <si>
    <t>Trainer to trainee ratio needs to be mentioned in the manual.</t>
  </si>
  <si>
    <t>Company ground indoctrination program not provided for new hire Ms. Ambika Karki.</t>
  </si>
  <si>
    <t>Route check form not synchronized.</t>
  </si>
  <si>
    <t>Pich trim inoperative</t>
  </si>
  <si>
    <t>Engineering department/ Line engineer</t>
  </si>
  <si>
    <t>Hydaulic leakage from the pressure line hose assembly of NWS actuator in 9H-AHR during approach to RHP</t>
  </si>
  <si>
    <t>Incident under investigation</t>
  </si>
  <si>
    <t>IOR</t>
  </si>
  <si>
    <t>After multiple resistance the attempt was made to load wet cargo in a non standard packaging</t>
  </si>
  <si>
    <t>Spot check findings/ Ramechhap</t>
  </si>
  <si>
    <t>MOE 1.3 scope of work doesnot specify which task/inspection is base/line maintenance task</t>
  </si>
  <si>
    <t>Weighing Equipment is not calibrated. The equipment was last calibrated on 2079/02/12 B.S.</t>
  </si>
  <si>
    <t>TR 05-35 and TR 05-35 of TLMCM is not updated in CMP</t>
  </si>
  <si>
    <t>LH main wheel tire flat in 9N-AHR after landing at RHP airport</t>
  </si>
  <si>
    <t>A flight crew was not in companys dress code</t>
  </si>
  <si>
    <t>Disregard of companys regulation regarding, A/C released on MEL supposed to be briefed on the pre flight dispatch release checklist</t>
  </si>
  <si>
    <t>GAP Analysis</t>
  </si>
  <si>
    <t>Organization found to be partial to ERP addressing necessary coordination of its emergency response/contingency procedures with the emergency/response contingency procedure of other organization where applicable.</t>
  </si>
  <si>
    <t>Accountable Executive</t>
  </si>
  <si>
    <t>organization found to be Partial to the SMS audit plan covering the SMS interface with sub-contractors or customers where applicable.</t>
  </si>
  <si>
    <t>At lukla helicopter traffic 9N-ALP did not give right of way to 9N-AHR resilting in a traffic conflict</t>
  </si>
  <si>
    <t>CAAN has issued circular</t>
  </si>
  <si>
    <t>MOR (Rara incident)</t>
  </si>
  <si>
    <t>Suspected propeller hit to one of the ground personnel Mr. Dhirendra Bham at rara airport after engine start and before taxi</t>
  </si>
  <si>
    <t>Corporate Dept/ Business Ops</t>
  </si>
  <si>
    <t>investigation completed and report submitted Provided all necessary treatment and support to the injured staff.</t>
  </si>
  <si>
    <t xml:space="preserve">Some essential equipments (scissors) missing from the first aid kit </t>
  </si>
  <si>
    <t>145 Engineering</t>
  </si>
  <si>
    <t>A ground handling staff has been touching the aircraft unnecessarily,  and may also be roaming around the ramp without adhering to standard procedures and regulations</t>
  </si>
  <si>
    <t>AVSEC/ Corporate department</t>
  </si>
  <si>
    <t>office etiquette has not been maintained, causing disruptions and affecting the working environment</t>
  </si>
  <si>
    <t>Corporate department</t>
  </si>
  <si>
    <t>new joiner who has not been appointed was observed taking initiation and handling a cargo load also without wearing the ramp jacket on ramp area</t>
  </si>
  <si>
    <t>Corporate Dept/AVSEC</t>
  </si>
  <si>
    <t>Approach reported Lukla is closed due to visibility, 4000m. So diverted back to VNKT</t>
  </si>
  <si>
    <t>VSR/ MOR</t>
  </si>
  <si>
    <t>structural part (L/G anti rotation lock assembly) discovered RHP which was confirmed to be from 9N-AHR</t>
  </si>
  <si>
    <t>145-Engineering/ CAMO</t>
  </si>
  <si>
    <t>Concerned department was not informed about the completion of the 3 june 2024 training session</t>
  </si>
  <si>
    <t>need for a standardized procedure on engine start-up with passengers boarding.</t>
  </si>
  <si>
    <t>Flight operations/145-Engineering</t>
  </si>
  <si>
    <t xml:space="preserve">meeting carried out by CSD and circular/ alert message issued accordingly </t>
  </si>
  <si>
    <t>Brick placed over the pool of rainwater at the entrance from Block A to Block B reported to be slippery and doesn’t provide good foot support possibly causing injury</t>
  </si>
  <si>
    <t>Corporate Department</t>
  </si>
  <si>
    <t>(30-31) April-2024</t>
  </si>
  <si>
    <t>CAAN Audit Report (NCAR Part-M)</t>
  </si>
  <si>
    <t>Management Organization Chart in CAME Part 0.4 doesn't Include Technical Library and Records. Furthermore, it is not Included in CAME Part 0.3</t>
  </si>
  <si>
    <t>CAMO/145 engineering</t>
  </si>
  <si>
    <t>CAP submitted to CAAN and accepted</t>
  </si>
  <si>
    <t>The Training Procedure Manual has not been revised as per CAA Nepal Airworthiness Circular ref: AW/182/80/81 dated 13 September 2023 to include all the syllabus for course offered in-house.</t>
  </si>
  <si>
    <t xml:space="preserve">The organization needs to review its MEL as per CAA Nepal Airworthiness Circular ref: AW/203(b)/80/81 dated 24 September 2023 to customize Its MEL.
</t>
  </si>
  <si>
    <t xml:space="preserve">The definitions of major and minor modification as well as major and minor repair are not as per NCAR Chapter C.5.
</t>
  </si>
  <si>
    <t xml:space="preserve">The organization CAME Part 1.13 needs to be reviewed in line with NCAR Chapter C.8.
</t>
  </si>
  <si>
    <t xml:space="preserve">Liaison Meeting to ensure analysis of maintenance program efficiency as per CAME 1.5.4 has not been conducted every 6 months
</t>
  </si>
  <si>
    <t xml:space="preserve">During competency assessment of Post holders, Question asked during assessment were not included in personal file along with Form 3.9.3
</t>
  </si>
  <si>
    <t xml:space="preserve">Although, Man-hour Plan of organization shows organizationis short of Manpower by less than 10%, the CAMO doesn't have sufficient experienced manpower as most of the CAMO personnel has recently been recruited
</t>
  </si>
  <si>
    <t xml:space="preserve">Latest EMM (TR 72-162) was not available with the organization
</t>
  </si>
  <si>
    <t xml:space="preserve">Quality Review Meeting was not conducted every 6 months as required by CAME Part 2.1. (last meeting was conductedon 8th Jan 2024 and meeting before this was conducted on 12th Jan 2023).
</t>
  </si>
  <si>
    <t xml:space="preserve">The organization has maintained Hazard Log. The Hazard log contains "Open" items which has not been addressed in timely manner despite CSD Dept. constant reminder. The organization should maintain deadline to address each open items
</t>
  </si>
  <si>
    <t>Corporate Safety Department</t>
  </si>
  <si>
    <t>Diverted from VNST valley enter point due to lack of forward visibility and unable to decent for landing</t>
  </si>
  <si>
    <t>Diverted from east of Bajura due to enroute weather ahead of flight, full overcast tops higher than 15000 ft</t>
  </si>
  <si>
    <t>Despite repeatedly reporting the issue regarding meal allowance, mistakes have been kept occurring and there needs to be accurate meal allowance calculations</t>
  </si>
  <si>
    <t>Corporate Department/ Finance Department</t>
  </si>
  <si>
    <t>Window crack occurred during cargo loading on 9N-AHR</t>
  </si>
  <si>
    <t>Business Operations/ Engineering Dept.</t>
  </si>
  <si>
    <t>Investigation completed. Report to be submitted</t>
  </si>
  <si>
    <t>Accountable Executive/ Corporate Department/</t>
  </si>
  <si>
    <t>customer had an unfortunate experience during a recent flight and reported that it was disappointing to start the journey with extremely dirty seats.</t>
  </si>
  <si>
    <t>Corporate Department/ 145 Engineering</t>
  </si>
  <si>
    <t>A parts catalog document was found in a street shop (chatpatey pasal) showing that company document has not been detained or disposed properly by concerned department.</t>
  </si>
  <si>
    <t>CAMO</t>
  </si>
  <si>
    <t>STA-601 departed from VNKT destination VNLK. Diverted to VNKT due VNLK closed due visibility drop below VFR minimum</t>
  </si>
  <si>
    <t>Flight Operations</t>
  </si>
  <si>
    <t>Screwdriver found at Nepalgunj airport belonging to our company</t>
  </si>
  <si>
    <t>3 miles to lamjura, Kathmandu control informed that lukla airport is closed due fog on approach patch, upon receiving the information, we diverted to KTM maintaining safety as per SOP</t>
  </si>
  <si>
    <t>On KTM-LUA sector approaching 105 ridge Lukla aerodome closed due fog lift off, hold south of 105 for 10 mins and diverted to KTM due weather further deteriorating</t>
  </si>
  <si>
    <t>multiple crack found in LH windshield during walk around inspection in 9N-AIE at KEP</t>
  </si>
  <si>
    <t>Notified from LTM control that Lukla arrival has closed due to fog on final approach path. Made a diversion back to KTM and landed safely</t>
  </si>
  <si>
    <t>4-5th july 2024</t>
  </si>
  <si>
    <t>CAP (Factual review of audit finding)</t>
  </si>
  <si>
    <t>During the preparation of Operations Manual there was a type error which is a slip (as analyzed from Just Culture perspective) during the prepation of the manual</t>
  </si>
  <si>
    <t>Due to continuous rainfall, there are widespread pools of stagnant water around the office premises. This has led to a severe mosquito infestation, with employees experiencing mosquito attacks within their office cabin throughout the day.</t>
  </si>
  <si>
    <t>Diverted to VNLK weather deteriorating. 8NM East of KTM climbing 8500 ft</t>
  </si>
  <si>
    <t>Operaions Audit report (CAAN)</t>
  </si>
  <si>
    <t>Insurance coverage of the persons authorized by CAAN to perform necessary surveillance and inspection duties as specified by CAAN as per AOCR 10.3.2 was not properly addressed.</t>
  </si>
  <si>
    <t>An operator was unable to provide FORM 108 of AOCI Manual for the use and guidance of operations personnel concerned an Operations Manual Part A in accordance with Appendix 1 as per FOR (A) 4.2.3.1 a)</t>
  </si>
  <si>
    <t>SEEP Manual Issue 02 was not 11 available and updated as per FOR (A) 4.3.2.1 b).</t>
  </si>
  <si>
    <t>Ground Handling Manual hasn't been revised or amended since 2014 as per FOR (A) 4.3.2.2 b).</t>
  </si>
  <si>
    <t>Operations Manual Part-D was I found not been amended or revised as is necessary to ensure that the information contained therein is kept up to date as per FOR (A) 4.3.2.2 b). (Eg. PPC form)</t>
  </si>
  <si>
    <t>Operations Manual Part-C has not II defined the alternate airfields.</t>
  </si>
  <si>
    <t xml:space="preserve">ERP Manual has not been revised II as per changed company name i.e. Sita Air Itd. as per CAAN letter Ref: FOD-078/79 Cha no: 969 dated 14th June 2022.
</t>
  </si>
  <si>
    <t xml:space="preserve">Quality of Flight Dispatcher II training of an external party (CATC. Bangkok) not been found monitored by operator.
</t>
  </si>
  <si>
    <t>Technical Log pages entry were 11 not properly filled as per FOR (A) 17.9.2.1 (ii)</t>
  </si>
  <si>
    <t>Safety Policy as displayed in II company and SMS Manual found inconsistent (not acceptable by CAAN) as per CAR-19, 4.1.4</t>
  </si>
  <si>
    <t>DG company manual to be amended as per latest edition DOC 9284</t>
  </si>
  <si>
    <t>Training program to be amended as per CB program (DGLIR)</t>
  </si>
  <si>
    <t xml:space="preserve">Ground and maintenance staff is properly receive dangerous goods awareness training
</t>
  </si>
  <si>
    <t>Maintenance manual is not including types of DG items and their handling procedure.</t>
  </si>
  <si>
    <t>Notice is not prominently displayed to warn the passengers about the types of goods which are prohibited to transport on board the aircraft</t>
  </si>
  <si>
    <t>ICAO do 9481 emergency response guidance for aircraft inerdents involving dangerous goods new edition 2023-2024 not updated as per new edition</t>
  </si>
  <si>
    <t>During the flight, the crew had requested to maintain an altitude of 1100ft for traffic separation, which was initially approved by ATC. However, as the aircraft reached 42nm from KTM, they were instructed to
make a 360° turn for reasons described by ATC. After asking for the reason ATC replied " Its not separation, its spacing, dont you know the difference" demonstrating unprofessional behavious and disregarding safety culture</t>
  </si>
  <si>
    <t>CAAN/ NAST</t>
  </si>
  <si>
    <t>During review of aircraft maintenance logs, schedule maintenance tasks occuring in between two consecutive 150 hrs inspection of 9N-AIE at KTM are missing from maintenance statement AIE-MS-03/24</t>
  </si>
  <si>
    <t>On KTM-LUA sector, LUA tower reported the airfield closed on initial contact we made hold East of 105 ridge, the Wx deteriorated further and decided to divert to VNKT</t>
  </si>
  <si>
    <t>Discontinuity on go around. During the Second Flight of day, from IMK to KEP we were following shree CRJ-700 for landing sequence on runway 26. After Shree CRJ-700 landed, they were given clearance to vacate runway taxiway B. since CRJ-700 took those time to back track and vacate, the pilot flying decided to go around. since they were very near the threshold around 100 ft AGL. but PIC took control and landed the aircraft with landing clearance given by ATC 10-20 ft to runway.</t>
  </si>
  <si>
    <t xml:space="preserve">KTM LMO doesn't have safety net to avoid monkey activities. Attached few pictures where in we can see all other airlines LMO's has safety net except ours. There has been few cases of monkey attack and rabies vaccinations to victim in LMO area's. Monkey sometimes directly enters office in search of food in the dust bin and tries to snatch it. The monkeys enters the gap between container &amp; roof area above the LMO container for shade creating unpleasant noise and distraction.
</t>
  </si>
  <si>
    <t>Corporate depaartment</t>
  </si>
  <si>
    <t>voluntary report highlights the issues related to the sector fuel calculation in the Load and Trim sheet of  Lukla-Rammechap sector, which appears to not be in accordance with the defined fuel policy standards.
On 16, 17 and 18 September 2024 flight scheduled from Rammechap to lukla and by lukla to rammechap it was observed that the fuel used in the Lukla-Rammechap sector did not meet the parameters set in the company’s fuel policy.</t>
  </si>
  <si>
    <t>Safety inspection- Base Station KTM</t>
  </si>
  <si>
    <t>Breathalyzer test not done by engineering staffs which is in violation of the Quality circular Ref. No. 10/2024 regarding breathalyzer test</t>
  </si>
  <si>
    <t>Engineering department/ flight operation/ business operations</t>
  </si>
  <si>
    <t>Carpet in the operations area is not found in good condition and may affect the working efficiency of concerned personnel.</t>
  </si>
  <si>
    <t>Safety information not found to be positioned on the line of sight, making it hard to read and potentially reducing accessibility.</t>
  </si>
  <si>
    <t>Business operations</t>
  </si>
  <si>
    <t>Dangerous Goods not properly displayed at the designated counter, risking regulatory non-compliance.</t>
  </si>
  <si>
    <t>Business operations/ Flight operations</t>
  </si>
  <si>
    <t>Crew violating protocol by consuming beverages in the cockpit, impacting safety regulations and in violation to the Flight Operations department circular Ref. No.  SA/OPS/CIR/004/2024 regarding Cockpit discipline</t>
  </si>
  <si>
    <t>Fuel figures and load/trim sheets between sectors (RHP-LUA) not in accordance with the defined fuel policy standards.</t>
  </si>
  <si>
    <t>On 19th Sept 2024 a duty roster message of 20th Sept 2024 was sent via Viber to inform all business ground duty personnel about a scheduled duty for morning, day, and weekly off. However despite this communication, it was found that Ground support personnel were present at their duty on 20th Sept 2024 also when assigned day off. Clearer communication, published print out duty roster prevents recurrence, and addresses any operational inefficiencies which helps to maintain a smooth workflow and avoid confusion regarding duty schedules.</t>
  </si>
  <si>
    <t>Corporate/Business operstions/Ground handling</t>
  </si>
  <si>
    <t>A staff from business ops accessed ramp without wearing the required ramp jacket which is a violation of safety regulations</t>
  </si>
  <si>
    <t>Crew member reported an incident on September 20, 2024, where a fellow crew member exhibited unprofessional behavior in the cockpit, disregarded radio communication responsibilities, and eventually left the flight without notice. Safety Reporter also highlighted attitude issues with this crew member. The crew member requested that the Flight Operations Director consider these matters and take appropriate action.</t>
  </si>
  <si>
    <t>VSR(Simrik Air)</t>
  </si>
  <si>
    <t>9N-ALT(Simrik Air helicopter)was outbound from Lukla following 105 ridgeline.(Time around 09;00 am) The Capt of 9N-ALT was radio contacted by 9N-AIE( Sita Air) arriving Lukla, however due to their weak VHF ,the Capt of 9N-ALT could not understand ,thus relayed his position to 9N-AIE.After a few seconds he saw 9N-AIE cross below him while 9N-AIE was supposed to be  keeping east of 105.</t>
  </si>
  <si>
    <t>MOC</t>
  </si>
  <si>
    <t>Change in key leadership position-Maintenance manager</t>
  </si>
  <si>
    <t>Technical safety concerns</t>
  </si>
  <si>
    <t>Change in management approach</t>
  </si>
  <si>
    <t>Flight was diverted to VNKT as Lukla airport closed</t>
  </si>
  <si>
    <t>Flight was diverted to VNKT as Lukla airport closed due to weather conditions</t>
  </si>
  <si>
    <t xml:space="preserve">                                                                                                                                                                                                                                                 </t>
  </si>
  <si>
    <t xml:space="preserve"> Occurrence Log sheet-2024</t>
  </si>
  <si>
    <t>Reported Date/  Date of Occ</t>
  </si>
  <si>
    <t>Occurrence  Code</t>
  </si>
  <si>
    <t>A/c Registration</t>
  </si>
  <si>
    <t>Occurrence Category</t>
  </si>
  <si>
    <t>Occ/ Hazrad Taxonomy</t>
  </si>
  <si>
    <t>Unsafe Event (Reported/Projected)</t>
  </si>
  <si>
    <t xml:space="preserve">Report  Prority Level (H/M/L) </t>
  </si>
  <si>
    <t>Recommended Action</t>
  </si>
  <si>
    <t xml:space="preserve">Concerned Department/ Personnel </t>
  </si>
  <si>
    <t xml:space="preserve">Risk Mitigation Status </t>
  </si>
  <si>
    <t xml:space="preserve">Remarks </t>
  </si>
  <si>
    <t xml:space="preserve">CSD Remarks </t>
  </si>
  <si>
    <t>Identified Hazard(if any)</t>
  </si>
  <si>
    <t xml:space="preserve">Safety Investigation /RCA Yes/No </t>
  </si>
  <si>
    <t>Corrective Action    Yes/No</t>
  </si>
  <si>
    <t>Date Activated</t>
  </si>
  <si>
    <t>Follow-up Date</t>
  </si>
  <si>
    <t>Date Completed (Open/ Closed)</t>
  </si>
  <si>
    <t>3rd March 2024/2nd March 2024</t>
  </si>
  <si>
    <t>SA-Occ-01-2024</t>
  </si>
  <si>
    <t>9N-AHR</t>
  </si>
  <si>
    <t>Incident</t>
  </si>
  <si>
    <t>Technical-SCF-NP   Landing Gear</t>
  </si>
  <si>
    <t>Nose wheel flat in 9N-AHR during aircraft landing roll at Lukla airport</t>
  </si>
  <si>
    <t>L</t>
  </si>
  <si>
    <t>No</t>
  </si>
  <si>
    <t>Yes</t>
  </si>
  <si>
    <t>2nd March 2024</t>
  </si>
  <si>
    <t>Removed and replaced both nose wheel assembly as per AMM Chapter 32-41-00,security check was carried out, found satisfactory</t>
  </si>
  <si>
    <t>12 Apr 2024/ 12 mar 2024</t>
  </si>
  <si>
    <t>SA-Occ-02-2024</t>
  </si>
  <si>
    <t>9N-AIE</t>
  </si>
  <si>
    <t xml:space="preserve">INCIDENT </t>
  </si>
  <si>
    <t xml:space="preserve">Technical-SCF-NP </t>
  </si>
  <si>
    <t xml:space="preserve">Cockpit Door inward opening wimdow broken </t>
  </si>
  <si>
    <t xml:space="preserve">NONE </t>
  </si>
  <si>
    <t>H</t>
  </si>
  <si>
    <t>NO</t>
  </si>
  <si>
    <t>YES</t>
  </si>
  <si>
    <t>12-04.-2024</t>
  </si>
  <si>
    <t xml:space="preserve">Cockppit door removed and replaced with serviceable assy ,In accordance with AMM Chapter 52-11-00 rev 12 and found satisfactory </t>
  </si>
  <si>
    <t>19th Apr  2024</t>
  </si>
  <si>
    <t>SA-Occ-03-2024</t>
  </si>
  <si>
    <t>Technical-SCF-NP / NAV</t>
  </si>
  <si>
    <t>Reduced operational efficiency and safety of flight. Diversion from other critical tasks during flight. GPS NAV data card found inoperative</t>
  </si>
  <si>
    <t>GPS  card error</t>
  </si>
  <si>
    <t>Engineering department/ Operations department</t>
  </si>
  <si>
    <t>A/C departeed from kathmandu airport, destination weather goes below minima. Pilot have to divert to alternate airport RHP. Gps not working properly so pilot faced difficulty to figure out the position of the aircraft. GPS data card updated as per task code SA/SCH/012, operatio test carried out, Found satisfactory</t>
  </si>
  <si>
    <t>Investigation committee formed and submitted Safety investigation Report regading the incident</t>
  </si>
  <si>
    <t>25 Apr 2024/ 24 Apr</t>
  </si>
  <si>
    <t>SA-Occ-04-2024</t>
  </si>
  <si>
    <t>Pitch trim found inopeartive during climb phase</t>
  </si>
  <si>
    <t>Line Engineer/ Engineering Department</t>
  </si>
  <si>
    <t>During troubleshooting pitch trim actuator found faulty same replaced with servicebale unit IAW AMM 27-40-09, Functional Test carried out. IAW AMM 27-40-00, Found satisfactory</t>
  </si>
  <si>
    <t>29 Apr 2024/ 29 Apr</t>
  </si>
  <si>
    <t>SA-Occ-05-2024</t>
  </si>
  <si>
    <t xml:space="preserve"> 2nd week of May</t>
  </si>
  <si>
    <t>The hose assembly removed and replaced with serviceble hose assymbly. IAW AMM Chap 32-00-97,rev -12, Hydaulic bleedinbg carried out IAW  AMM 29-10-00 and 12-13-01. operation test of hydaulic system carried out found normal. Functional test of landing gear carried out IAW 32-*00-00 and operational test of NWA system carried out found satisfactory, IAW AMM 32-50-00, rev-12</t>
  </si>
  <si>
    <t>On 29th Apr, 024 meeting held at corporate office with the presence of PIC, F/O and A/H.  On 30th Apr 024 meeting held with CAAN personnel with attendence of CSD chief, PIC, F/O and A/H. On 2nd may 024 debriefing CAAN meeting was done regarding the incident. Under investigation</t>
  </si>
  <si>
    <t>09 May 2024/ 08 May</t>
  </si>
  <si>
    <t>SA-Occ-06-2024</t>
  </si>
  <si>
    <t>Technical-SCF-NP   Landing gear</t>
  </si>
  <si>
    <t>Upon inspection LH main wheel tire founfd flat and a pincture of 1 inch was observed. LH main wheel assembly removed as per AMM CH 32-42-00. A/C towed from RWY to ramp area as per AMM- CH- 09-10-02. Inspection carried out as per the code SA/VSCH/017. After wheel rolled with a flat or disinterated tire. found satisfactory</t>
  </si>
  <si>
    <t>Investigation under process</t>
  </si>
  <si>
    <t>16 may 2024/ 16 may</t>
  </si>
  <si>
    <t>SA-Occ-07-2024</t>
  </si>
  <si>
    <t>16-May-024</t>
  </si>
  <si>
    <t>reported to CAAN and safety manager of simrik air</t>
  </si>
  <si>
    <t>repoeted to CAAN Lukla to which they issued a circular, also reported to Simrik air</t>
  </si>
  <si>
    <t>23 may 2024/ 23 may 2024</t>
  </si>
  <si>
    <t>SA-Occ-08-2024</t>
  </si>
  <si>
    <t>Serious Incident</t>
  </si>
  <si>
    <t>Technical-SCF-PP</t>
  </si>
  <si>
    <t>Mr. Bham was immediately given first aid. And flown to nepalgunj . He was given initial treatment there and brought to KTM for further treatment</t>
  </si>
  <si>
    <t>investigation completed and report submitted. Provided all necessary treatment and support to the injured staff.</t>
  </si>
  <si>
    <t>2 june  2024/ 2 june 2024</t>
  </si>
  <si>
    <t>SA-Occ-09-2024</t>
  </si>
  <si>
    <t xml:space="preserve">Installed servicabkle anti rotation lock assembly </t>
  </si>
  <si>
    <t>4 july 2024/ 5 july 2024</t>
  </si>
  <si>
    <t>SA-Occ-10-2024</t>
  </si>
  <si>
    <t>removed andreplaced with serviceable unit. Under  Investigation</t>
  </si>
  <si>
    <t>10 august 2024/ 11 august 2024</t>
  </si>
  <si>
    <t>SA-Occ-11-2024</t>
  </si>
  <si>
    <t>removed andreplaced with serviceable unit and checked for water tightness, found satisfactory</t>
  </si>
  <si>
    <t>12th Sept 2024</t>
  </si>
  <si>
    <t>SA-Occ-12-2024</t>
  </si>
  <si>
    <t>OTHR</t>
  </si>
  <si>
    <t>Safety deficiencies Registration Logsheet -2024</t>
  </si>
  <si>
    <t xml:space="preserve">CORPORATE SAFETY DEPARTMENT </t>
  </si>
  <si>
    <t>SN</t>
  </si>
  <si>
    <t>Reported Date/Occurrence date</t>
  </si>
  <si>
    <t>Hazard(H)</t>
  </si>
  <si>
    <t>Unsafe Event (UE) (Reported/Projected)</t>
  </si>
  <si>
    <t>Report prority Level (H/M/L)</t>
  </si>
  <si>
    <t xml:space="preserve">Responsible for mitigating Action  </t>
  </si>
  <si>
    <t>Status (Open/ Closed)        Date completed</t>
  </si>
  <si>
    <t>CSD Remarks</t>
  </si>
  <si>
    <t xml:space="preserve">Sources of infromation </t>
  </si>
  <si>
    <t>Hazard code/ID</t>
  </si>
  <si>
    <t>Taxonomy-   Type of Area/ Operation/ Equipment</t>
  </si>
  <si>
    <t>SRM Action (Yes/No)</t>
  </si>
  <si>
    <t>Corrective Action (Yes/No)</t>
  </si>
  <si>
    <t>9th Jan 2024/5th Jan 2024</t>
  </si>
  <si>
    <t>SA-ORG-01-24</t>
  </si>
  <si>
    <t>Organizational- Facilities</t>
  </si>
  <si>
    <t>Passengers were left unattended for more than 10 minutes due to unavailibility of the company ramp bus.</t>
  </si>
  <si>
    <t>M</t>
  </si>
  <si>
    <t>Corporate and Business OPS</t>
  </si>
  <si>
    <t>Memo sent to Business OPS and Corporate for the factual findings.</t>
  </si>
  <si>
    <t>11th Jan 2024</t>
  </si>
  <si>
    <t>SA-ENV-02-24</t>
  </si>
  <si>
    <t>Environmental- Weather</t>
  </si>
  <si>
    <t>Go around as approach was high and unstable due poor visibility at final runway 26</t>
  </si>
  <si>
    <t>Operations Department</t>
  </si>
  <si>
    <t>Communicated with OPS department,safety meeting regarding the same conducted</t>
  </si>
  <si>
    <t>14th Jan/13th Jan 2024</t>
  </si>
  <si>
    <t>SA-TECH-03-24</t>
  </si>
  <si>
    <t>Technical- Air Operation and Maintenance- Aircraft loading</t>
  </si>
  <si>
    <t>Passenger aged 14 was catagorized as a child passenger.</t>
  </si>
  <si>
    <t>Ground handling department</t>
  </si>
  <si>
    <t>Memo sent to Business OPS .</t>
  </si>
  <si>
    <t>19th Jan 2024</t>
  </si>
  <si>
    <t>SA-ORG-04-24</t>
  </si>
  <si>
    <t>Expired fire extinguisher placed at block-b, sita air(store side)</t>
  </si>
  <si>
    <t>Corporate and 145 Department</t>
  </si>
  <si>
    <t>Same has been replaced.</t>
  </si>
  <si>
    <t>21st Jan 2024</t>
  </si>
  <si>
    <t>SA-TECH-05-024</t>
  </si>
  <si>
    <t>Technical-ANSP( Air Traffic)</t>
  </si>
  <si>
    <t>LUA-KTM Flight diverted TO RHP due to the missed information of change in NOTAM time passed by the briefing office.</t>
  </si>
  <si>
    <t>Operations and ATC</t>
  </si>
  <si>
    <t>Email sent to nast regarding the early communication about such events.</t>
  </si>
  <si>
    <t>2nd Feb 2024</t>
  </si>
  <si>
    <t>SA-ORG-06-024</t>
  </si>
  <si>
    <t>145 and training-eng department</t>
  </si>
  <si>
    <t>SA-TECH-07-024</t>
  </si>
  <si>
    <t>Technical- Air operations(facilities)</t>
  </si>
  <si>
    <t>145 department</t>
  </si>
  <si>
    <t>Email sent to 145 and corporate department regarding the same, 145 department has asked LMO for needful doing. Same has been recrified.</t>
  </si>
  <si>
    <t>SA-TECH-08-024</t>
  </si>
  <si>
    <t>Technical</t>
  </si>
  <si>
    <t>Email sent to the 145 department Same has been recrified.</t>
  </si>
  <si>
    <t>3rd Feb 2024</t>
  </si>
  <si>
    <t>SA-ORG-09-024</t>
  </si>
  <si>
    <t>Organizational-management</t>
  </si>
  <si>
    <t>Circular issued by the OPS department regarding the guidelines for the training/ checklist flight preparation.</t>
  </si>
  <si>
    <t>SA-TECH-10-024</t>
  </si>
  <si>
    <t>11th Feb 2024</t>
  </si>
  <si>
    <t>SA-TECH-11-024</t>
  </si>
  <si>
    <t>Operations department</t>
  </si>
  <si>
    <t>Memo sent to OPS department, circular issued by OPS dept regarding same</t>
  </si>
  <si>
    <t>SA-TECH-12-024</t>
  </si>
  <si>
    <t>SA-ORG-13-024</t>
  </si>
  <si>
    <t>20th Feb 2024/23rd Jan 2024</t>
  </si>
  <si>
    <t>Follow-up safety inspection</t>
  </si>
  <si>
    <t>SA-ORG-14-024</t>
  </si>
  <si>
    <t>Organizational- Documentation, Processes and Procedures</t>
  </si>
  <si>
    <t>SA-ORG-15-024</t>
  </si>
  <si>
    <t>SA-ORG-16-024</t>
  </si>
  <si>
    <t>POH DO228 202K((9N-AIE) was not updated with TR 008</t>
  </si>
  <si>
    <t>SA-ORG-17-024</t>
  </si>
  <si>
    <t>SA-ORG-18-024</t>
  </si>
  <si>
    <t>SA-ORG-19-024</t>
  </si>
  <si>
    <t>SA-ORG-20-024</t>
  </si>
  <si>
    <t>SA-ORG-21-024</t>
  </si>
  <si>
    <t>Organizational- management</t>
  </si>
  <si>
    <t>SA-ORG-22-024</t>
  </si>
  <si>
    <t>SA-ORG-23-024</t>
  </si>
  <si>
    <t>SA-ORG-24-024</t>
  </si>
  <si>
    <t>SA-ORG-25-024</t>
  </si>
  <si>
    <t>SA-ORG-26-024</t>
  </si>
  <si>
    <t>SA-ORG-27-024</t>
  </si>
  <si>
    <t>SA-ORG-28-024</t>
  </si>
  <si>
    <t>SA-ORG-29-024</t>
  </si>
  <si>
    <t>Operations/Business Operations/Engineering/Corporate  Department</t>
  </si>
  <si>
    <t>SA-ORG-30-024</t>
  </si>
  <si>
    <t>SA-ORG-31-024</t>
  </si>
  <si>
    <t>6th March 2024/28th Feb 2024</t>
  </si>
  <si>
    <t>SA-ORG-32-024</t>
  </si>
  <si>
    <t>Organizational-Documentation, Processes and Procedures</t>
  </si>
  <si>
    <t>CAMO department is not getting timely response and update on the IOM regarding various departmental affairs from the maintenance department</t>
  </si>
  <si>
    <t>Maintenance departmnent</t>
  </si>
  <si>
    <t>SA-ORG-33-024</t>
  </si>
  <si>
    <t>Fellow operatoer putting aircraft sequence through VHF from office</t>
  </si>
  <si>
    <t xml:space="preserve">NAST </t>
  </si>
  <si>
    <t>5-7/04/024</t>
  </si>
  <si>
    <t>SA-ORG-34-024</t>
  </si>
  <si>
    <t>Repetitive Finding Special Alert</t>
  </si>
  <si>
    <t>SA-ORG-35-024</t>
  </si>
  <si>
    <t>SA-ORG-36-024</t>
  </si>
  <si>
    <t>SA-ORG-37-024</t>
  </si>
  <si>
    <t>SA-ORG-38-024</t>
  </si>
  <si>
    <t>SA-ORG-39-024</t>
  </si>
  <si>
    <t>SA-ORG-40-024</t>
  </si>
  <si>
    <t>SA-ORG-41-024</t>
  </si>
  <si>
    <t>SA-ORG-42-024</t>
  </si>
  <si>
    <t>SA-ORG-43-024</t>
  </si>
  <si>
    <t>SA-ORG-44-024</t>
  </si>
  <si>
    <t>SA-ORG-45-024</t>
  </si>
  <si>
    <t>SA-ORG-46-024</t>
  </si>
  <si>
    <t>SA-ORG-47-024</t>
  </si>
  <si>
    <t>SA-ORG-48-024</t>
  </si>
  <si>
    <t>SA-ORG-49-024</t>
  </si>
  <si>
    <t>SA-ORG-50-024</t>
  </si>
  <si>
    <t>SA-ORG-51-024</t>
  </si>
  <si>
    <t>SA-ORG-52-024</t>
  </si>
  <si>
    <t>SA-ORG-53-024</t>
  </si>
  <si>
    <t>SA-ORG-54-024</t>
  </si>
  <si>
    <t>SA-ORG-55-024</t>
  </si>
  <si>
    <t>SA-ORG-56-024</t>
  </si>
  <si>
    <t>Organizational management</t>
  </si>
  <si>
    <t>SA-ORG-57-024</t>
  </si>
  <si>
    <t>SA-ORG-58-024</t>
  </si>
  <si>
    <t>SA-ORG-59-024</t>
  </si>
  <si>
    <t>SA-ORG-60-024</t>
  </si>
  <si>
    <t>SA-ORG-61-024</t>
  </si>
  <si>
    <t>SA-ORG-62-024</t>
  </si>
  <si>
    <t>SA-ORG-63-024</t>
  </si>
  <si>
    <t>SA-ORG-64-024</t>
  </si>
  <si>
    <t>SA-ORG-65-024</t>
  </si>
  <si>
    <t>SA-ORG-66-024</t>
  </si>
  <si>
    <t>SA-ORG-67-024</t>
  </si>
  <si>
    <t>SA-ORG-68-024</t>
  </si>
  <si>
    <t>SA-ORG-69-024</t>
  </si>
  <si>
    <t>SA-ORG-70-024</t>
  </si>
  <si>
    <t>SA-ORG-71-024</t>
  </si>
  <si>
    <t>Organizational facility</t>
  </si>
  <si>
    <t>SA-ORG-72-024</t>
  </si>
  <si>
    <t>SA-ORG-73-024</t>
  </si>
  <si>
    <t>SA-ORG-74-024</t>
  </si>
  <si>
    <t>SA-ORG-75-024</t>
  </si>
  <si>
    <t>SA-ORG-76-024</t>
  </si>
  <si>
    <t>SA-ORG-77-024</t>
  </si>
  <si>
    <t>SA-ORG-78-024</t>
  </si>
  <si>
    <t>SA-ORG-79-024</t>
  </si>
  <si>
    <t>SA-ORG-80-024</t>
  </si>
  <si>
    <t>Pig near RWY which is contributing for bird activities</t>
  </si>
  <si>
    <t>5-7-04-024</t>
  </si>
  <si>
    <t>SA-ORG-81-024</t>
  </si>
  <si>
    <t>SA-ORG-82-024</t>
  </si>
  <si>
    <t>SA-ORG-83-024</t>
  </si>
  <si>
    <t>SA-ORG-84-024</t>
  </si>
  <si>
    <t>SA-ORG-85-024</t>
  </si>
  <si>
    <t>According to For 19.1 and aircraft shall not be refuled or derefuled at an aerodome within 15mtr of a buillding , here aircraft parked on bay no. 7 doesn’t meet the fueling requirement</t>
  </si>
  <si>
    <t>SA-ORG-86-024</t>
  </si>
  <si>
    <t>SA-ORG-87-024</t>
  </si>
  <si>
    <t>SA-ORG-88-024</t>
  </si>
  <si>
    <t>SA-ORG-89-024</t>
  </si>
  <si>
    <t>SA-ORG-90-024</t>
  </si>
  <si>
    <t>SA-ORG-91-024</t>
  </si>
  <si>
    <t>SA-ORG-92-024</t>
  </si>
  <si>
    <t>SA-ORG-93-024</t>
  </si>
  <si>
    <t>SA-ORG-94-024</t>
  </si>
  <si>
    <t>SA-ORG-95-024</t>
  </si>
  <si>
    <t>SA-ORG-96-024</t>
  </si>
  <si>
    <t>SA-ORG-97-024</t>
  </si>
  <si>
    <t>SA-ORG-98-024</t>
  </si>
  <si>
    <t>06-05-024</t>
  </si>
  <si>
    <t>SA-ORG-99-024</t>
  </si>
  <si>
    <t>SA-TECH-100-024</t>
  </si>
  <si>
    <t>13-05-024</t>
  </si>
  <si>
    <t>SA-ORG-101-024</t>
  </si>
  <si>
    <t>Communicated with OPS department</t>
  </si>
  <si>
    <t>SA-TECH-102-024</t>
  </si>
  <si>
    <t>15-05-024</t>
  </si>
  <si>
    <t>SA-ORG-103-024</t>
  </si>
  <si>
    <t>Report submitted to AE for comments with recommendations included</t>
  </si>
  <si>
    <t>SA-ORG-104-024</t>
  </si>
  <si>
    <t>27-05-024</t>
  </si>
  <si>
    <t>SA-TECH-105-024</t>
  </si>
  <si>
    <t>communicated to 145 office and they conducted first aid kit inspection for contents</t>
  </si>
  <si>
    <t>SA-ORG-106-024</t>
  </si>
  <si>
    <t>30-05-024</t>
  </si>
  <si>
    <t>SA-ORG-107-024</t>
  </si>
  <si>
    <t>Corporate Dept</t>
  </si>
  <si>
    <t>SA-ORG-108-024</t>
  </si>
  <si>
    <t>03-06-024</t>
  </si>
  <si>
    <t>SA-ORG-109-024</t>
  </si>
  <si>
    <t>04-06-024</t>
  </si>
  <si>
    <t>SA-ORG-110-024</t>
  </si>
  <si>
    <t xml:space="preserve"> need for a standardized procedure on engine start-up with passengers boarding.</t>
  </si>
  <si>
    <t>Flight operations/145-Engineeri</t>
  </si>
  <si>
    <t>SA-ORG-111-024</t>
  </si>
  <si>
    <t>Organizational-facility</t>
  </si>
  <si>
    <t>09-06-2024/       (30-31) April-2024</t>
  </si>
  <si>
    <t>SA-ORG-112-024</t>
  </si>
  <si>
    <t>SA-ORG-113-024</t>
  </si>
  <si>
    <t>SA-ORG-114-024</t>
  </si>
  <si>
    <t>SA-ORG-115-024</t>
  </si>
  <si>
    <t>SA-ORG-116-024</t>
  </si>
  <si>
    <t>SA-ORG-117-024</t>
  </si>
  <si>
    <t>SA-ORG-118-024</t>
  </si>
  <si>
    <t>SA-ORG-119-024</t>
  </si>
  <si>
    <t>SA-ORG-120-024</t>
  </si>
  <si>
    <t>SA-ORG-121-024</t>
  </si>
  <si>
    <t>SA-ORG-122-024</t>
  </si>
  <si>
    <t>SA-ORG-123-024</t>
  </si>
  <si>
    <t>SA-ORG-124-024</t>
  </si>
  <si>
    <t>Delay in salary payment recurring for several months</t>
  </si>
  <si>
    <t>Accountable Executive/ Corporate Department/ Finance</t>
  </si>
  <si>
    <t>communicated to all concerned</t>
  </si>
  <si>
    <t>SA-ORG-125-024</t>
  </si>
  <si>
    <t>SA-ORG-126-024</t>
  </si>
  <si>
    <t>A parts catalog document has been found in a street shop (chatpatey pasal) showing that company document has not been detained or disposed properly by concerned department</t>
  </si>
  <si>
    <t>SA-ORG-127-024</t>
  </si>
  <si>
    <t>145-engineering</t>
  </si>
  <si>
    <t>Operations Audit</t>
  </si>
  <si>
    <t>SA-ORG-128-024</t>
  </si>
  <si>
    <t>Found during factual review of  audit finding   (CAP)</t>
  </si>
  <si>
    <t>SA-ORG-129-024</t>
  </si>
  <si>
    <t>comunnicated to corporate department for necessry action</t>
  </si>
  <si>
    <t>Operaions Audit(4-5 July 2024) report (CAAN)</t>
  </si>
  <si>
    <t>SA-ORG-130-024</t>
  </si>
  <si>
    <t>CAP submitted by flight ops to CAAN</t>
  </si>
  <si>
    <t>SA-ORG-131-024</t>
  </si>
  <si>
    <t>SA-ORG-132-024</t>
  </si>
  <si>
    <t>SA-ORG-133-024</t>
  </si>
  <si>
    <t>SA-ORG-134-024</t>
  </si>
  <si>
    <t>SA-ORG-135-024</t>
  </si>
  <si>
    <t>SA-ORG-136-024</t>
  </si>
  <si>
    <t>SA-ORG-137-024</t>
  </si>
  <si>
    <t>SA-ORG-138-024</t>
  </si>
  <si>
    <t>SA-ORG-139-024</t>
  </si>
  <si>
    <t>SA-ORG-140-024</t>
  </si>
  <si>
    <t>SA-ORG-141-024</t>
  </si>
  <si>
    <t>SA-ORG-142-024</t>
  </si>
  <si>
    <t>Organizational management, Training</t>
  </si>
  <si>
    <t>SA-ORG-143-024</t>
  </si>
  <si>
    <t>SA-ORG-144-024</t>
  </si>
  <si>
    <t>SA-ORG-145-024</t>
  </si>
  <si>
    <t>SA-ORG-146-024</t>
  </si>
  <si>
    <t>reported to NAST</t>
  </si>
  <si>
    <t>SA-ORG-147-024</t>
  </si>
  <si>
    <t>SA-ORG-148-024</t>
  </si>
  <si>
    <t>KTM LMO doesn't have safety net to avoid monkey activities. Attached few pictures where in we can see all other airlines LMO's has safety net except ours. There has been few cases of monkey attack and rabies vaccinations to victim in LMO area's. Monkey sometimes directly enters office in search of food in the dust bin and tries to snatch it. The monkeys enters the gap between container &amp; roof area above the LMO container for shade creating unpleasant noise and distraction.</t>
  </si>
  <si>
    <t>Corporate</t>
  </si>
  <si>
    <t>SA-ORG-149-024</t>
  </si>
  <si>
    <t>SA-ORG-150-024</t>
  </si>
  <si>
    <t>Corporate/Business operations/Ground handling</t>
  </si>
  <si>
    <t>SA-ORG-151-024</t>
  </si>
  <si>
    <t>Business Ops</t>
  </si>
  <si>
    <t>SA-ORG-152-024</t>
  </si>
  <si>
    <t>SA-ORG-153-024</t>
  </si>
  <si>
    <t>Inspection report subitted to concerned department</t>
  </si>
  <si>
    <t>SA-ORG-154-024</t>
  </si>
  <si>
    <t>SA-ORG-155-024</t>
  </si>
  <si>
    <t>SA-ORG-156-024</t>
  </si>
  <si>
    <t>SA-ORG-157-024</t>
  </si>
  <si>
    <t>SA-ORG-158-024</t>
  </si>
  <si>
    <t>Crew co-ordination</t>
  </si>
  <si>
    <t>Communicated to oerations department</t>
  </si>
  <si>
    <t>Hazard Registration Logsheet -2024</t>
  </si>
  <si>
    <t>Reported Date/ Date of occurrence</t>
  </si>
  <si>
    <t>Hazard (H)</t>
  </si>
  <si>
    <t>Potential Consequence (Reported/Projected)</t>
  </si>
  <si>
    <t>Status (Open/ Closed Date completed</t>
  </si>
  <si>
    <t>Taxonomy-       Type of Area/ Operation/ Equipment</t>
  </si>
  <si>
    <t>Specific components of the generic Hazard</t>
  </si>
  <si>
    <t>7th Jan 2024</t>
  </si>
  <si>
    <t>SA- HZ-ORG-01-024</t>
  </si>
  <si>
    <t>Environmental-Weather</t>
  </si>
  <si>
    <t>Sun glare</t>
  </si>
  <si>
    <t>Dificulty to see the runway during landing phase due to sunglare.</t>
  </si>
  <si>
    <t>This creates challenge for pilot to accurately judge their altitude and distance from runway which can affects pilot's ability for precise adjustments during descent for safe landing.</t>
  </si>
  <si>
    <t>Memo issued by OPS Dept to not carry operations to TAL airport between 14.00- 15.30 HRs during winter.</t>
  </si>
  <si>
    <t>11th Jan/7th Jan 2024</t>
  </si>
  <si>
    <t>SA-HZ-ENV-02-024</t>
  </si>
  <si>
    <t>Environmental- Wildlife</t>
  </si>
  <si>
    <t>Bird activities</t>
  </si>
  <si>
    <t>Bird activity  on the vicinity of aerodrome</t>
  </si>
  <si>
    <t>It can damage the engine of the aircraft</t>
  </si>
  <si>
    <t>Operations and ASSD</t>
  </si>
  <si>
    <t>Conducted a safety meeting and email has been sent to ASSD regarding the same.</t>
  </si>
  <si>
    <t>SA-HZ-TECH-03-024</t>
  </si>
  <si>
    <t>Technical-Aerodrome</t>
  </si>
  <si>
    <t>Runway condtion</t>
  </si>
  <si>
    <t>Burned out grasses on the clear way</t>
  </si>
  <si>
    <t>It creates illusion ( because of black color) while landing.</t>
  </si>
  <si>
    <t>SA-HZ-ENV-04-024</t>
  </si>
  <si>
    <t>ENVIRONMENTAL-WEATHER</t>
  </si>
  <si>
    <t xml:space="preserve">Wind </t>
  </si>
  <si>
    <t xml:space="preserve">Aircraft encountered gust wind </t>
  </si>
  <si>
    <t xml:space="preserve">Reported : Full thrust and mediumbraking action                       Projected : RWY exercusion </t>
  </si>
  <si>
    <t xml:space="preserve">closed </t>
  </si>
  <si>
    <t>SA-HZ-TECH-05-024</t>
  </si>
  <si>
    <t>GPS</t>
  </si>
  <si>
    <t>GPS not functioning</t>
  </si>
  <si>
    <t>can lead to less oerational efficiency and loss of situational awareness</t>
  </si>
  <si>
    <t>Conducted an investion and report submitted</t>
  </si>
  <si>
    <t>SA-HZ-TECH-06-024</t>
  </si>
  <si>
    <t>Propeller</t>
  </si>
  <si>
    <t>Propeller strikes can cause life-threatening injuries due to the high-speed rotation of the blades</t>
  </si>
  <si>
    <t>VSR/IOR</t>
  </si>
  <si>
    <t>SA-HZ-TECH-07-024</t>
  </si>
  <si>
    <t>FOD</t>
  </si>
  <si>
    <t>It could lead to damage of aircraft or equipment and signal incomplete maintenance.</t>
  </si>
  <si>
    <t>Conducted safety meeting. Implemented just culture and a report on the violation in the incident with necessary recommendation to concerned departments as well</t>
  </si>
  <si>
    <t>Organizational</t>
  </si>
  <si>
    <t>Leadership tranition</t>
  </si>
  <si>
    <t>Potential for disruption in maintenance procedures and communication breakdowns</t>
  </si>
  <si>
    <t xml:space="preserve">Conducted SRM </t>
  </si>
  <si>
    <t>Non-compliance</t>
  </si>
  <si>
    <t>Potential aircraft grounding</t>
  </si>
  <si>
    <t>Lack of smooth Adaptation tomanagement style</t>
  </si>
  <si>
    <t>Misalignment between the new maintenance managers' style and established procedures</t>
  </si>
  <si>
    <t>Aircraft Diversion record Logsheet-2024</t>
  </si>
  <si>
    <t xml:space="preserve">CORPORATE  SAFETY DEPARTMENT </t>
  </si>
  <si>
    <t xml:space="preserve">Date of Occurrence </t>
  </si>
  <si>
    <t>Flight Number</t>
  </si>
  <si>
    <t xml:space="preserve">Departure time(Local time) </t>
  </si>
  <si>
    <t>Flight Sector      (From-To)</t>
  </si>
  <si>
    <t xml:space="preserve">Diverted to </t>
  </si>
  <si>
    <t xml:space="preserve">Reason  of diversion </t>
  </si>
  <si>
    <t>Crew set</t>
  </si>
  <si>
    <t>Duty FOO</t>
  </si>
  <si>
    <t>Aircraft Registration</t>
  </si>
  <si>
    <t xml:space="preserve">21st Jan 2024 </t>
  </si>
  <si>
    <t>STA-602</t>
  </si>
  <si>
    <t>LUA</t>
  </si>
  <si>
    <t>KTM</t>
  </si>
  <si>
    <t>RHP</t>
  </si>
  <si>
    <t>Technical-Traffic patterm</t>
  </si>
  <si>
    <t>Capt. Bharat Thapa                               F/O Sabin Kumar Pandey</t>
  </si>
  <si>
    <t>Ms. Anju Dotel</t>
  </si>
  <si>
    <t>Due to change in VVIP Notam time</t>
  </si>
  <si>
    <t>STA-604</t>
  </si>
  <si>
    <t>10:50</t>
  </si>
  <si>
    <t>Capt. B. thapa, F/O. B. T. Tuladhar, A/H. N. Thing</t>
  </si>
  <si>
    <t>Mr. A. M. Singh</t>
  </si>
  <si>
    <t>KTM Approach told for expected approach time more than 1 Hour, hence diverted to RHP</t>
  </si>
  <si>
    <t>STA-601</t>
  </si>
  <si>
    <t>10:10</t>
  </si>
  <si>
    <t>PPL</t>
  </si>
  <si>
    <t xml:space="preserve">Weather - Wind </t>
  </si>
  <si>
    <t>Capt D.K.SAH             F/O A .Rawat           A/H N.Thing</t>
  </si>
  <si>
    <t xml:space="preserve">Diverted to suitable alternate due to tail wind component goes beyond limitation </t>
  </si>
  <si>
    <t>22nd March 2024</t>
  </si>
  <si>
    <t>STA-609D</t>
  </si>
  <si>
    <t>Weather- Low cloud ceiling</t>
  </si>
  <si>
    <t>Capt. S. Kunwar           F/O S. Guragain</t>
  </si>
  <si>
    <t>Sany Bajracharya</t>
  </si>
  <si>
    <t>9N- AIE</t>
  </si>
  <si>
    <t>LUA arrival closed due low cloud ceiling.</t>
  </si>
  <si>
    <t>STA-607D</t>
  </si>
  <si>
    <t>Weather- visibility</t>
  </si>
  <si>
    <t>Capt D .GIRI             F/O R.K.C</t>
  </si>
  <si>
    <t>LUA arrival closed due VISIBILITY</t>
  </si>
  <si>
    <t>06:10</t>
  </si>
  <si>
    <t>Weather-Enroute</t>
  </si>
  <si>
    <t>Capt. S. m. shakya F/O. K. SAPKOTA A/H. C. MALLA</t>
  </si>
  <si>
    <t>Due to low ceiling around 105 ridge, other traffic ahead us also  holding around there so we divert to RHP from N of LUA</t>
  </si>
  <si>
    <t>06-APR-2024</t>
  </si>
  <si>
    <t>STA-609</t>
  </si>
  <si>
    <t>12:01</t>
  </si>
  <si>
    <t>Weather- Wind Component</t>
  </si>
  <si>
    <t>Capt. D. giri   F/O. R. KC  A/H. N. THING</t>
  </si>
  <si>
    <t>While approaching N of LIKHU due Wind component above landing Minima LUA Apt closed.</t>
  </si>
  <si>
    <t>07-APR-2024</t>
  </si>
  <si>
    <t>STA-CHT</t>
  </si>
  <si>
    <t>Capt. S. m. shakya F/O. K.  PACHHAI A/H. N. THAPALIYA</t>
  </si>
  <si>
    <t>Diverted back to RHP from S of PPL Due wind component above landing minima at LUA</t>
  </si>
  <si>
    <t>STA-AIE</t>
  </si>
  <si>
    <t>Capt. D. giri   F/O. A. RAWAT  A/H. C. MALLA</t>
  </si>
  <si>
    <t>DUE TO LUA AIRPORT, DIVERTED TO RHP AIRPORT</t>
  </si>
  <si>
    <t>Capt. B. thapa, F/O. K. pachhai, A/H. S. Adhikari</t>
  </si>
  <si>
    <t>8NM PPL Pass, diverted back to RHP due to LUA visibility 3000MTR Hz</t>
  </si>
  <si>
    <t>STA-301</t>
  </si>
  <si>
    <t xml:space="preserve">KEP </t>
  </si>
  <si>
    <t>BJU</t>
  </si>
  <si>
    <t>KEP</t>
  </si>
  <si>
    <t>Diverted to KEP due BJU wind W/10KT from 4.5NM VNNG</t>
  </si>
  <si>
    <t>Technical- SCF/NP</t>
  </si>
  <si>
    <t>CAPT. R. DANGOL, CAPT. S. GURAGAIN, A/H. S. NEUPANE</t>
  </si>
  <si>
    <t>Diverted back RHP due Cockpit door inward opening window broken</t>
  </si>
  <si>
    <t>Weather- Visibility / Enroute WX</t>
  </si>
  <si>
    <t>CAPT. R. DANGOL CAPT. S. GURAGAIN. A/H. S. ADHIKARI</t>
  </si>
  <si>
    <t>Ms. Sany Bjaracharya</t>
  </si>
  <si>
    <t xml:space="preserve">92nm FROM ktm TRAFFIC INBOUND TO lua DIVERTED DUE TO ENROUTE wx </t>
  </si>
  <si>
    <t>CAPT. S. KUNWAR F/O. A. RAWAT, A/H. S. NEUPANE</t>
  </si>
  <si>
    <t>9N-AJH</t>
  </si>
  <si>
    <t>BASE RIDGE HIGH ON PROFILE FOR LUA APPROACH, TRACK OUTBOUND HEADING 130 RIVER TRACK ANDCOULD NOT FIND ANY BREAKS TO DESCEND, APPROACH EAST OF KANGEL, FOUND BREAKS AND DESCENDED TILL 20,000FT UNABLE TO MAINTAIN VFR, SO DIVERT</t>
  </si>
  <si>
    <t>29-Apr-024</t>
  </si>
  <si>
    <t>STA-906</t>
  </si>
  <si>
    <t>TECHNICAL- HYDAULLIC PRESSURE</t>
  </si>
  <si>
    <t>CAPT. S.M. SHAKYA, F/O  S.K PANDEY, A/H S. ADHIKARI</t>
  </si>
  <si>
    <t>_</t>
  </si>
  <si>
    <t>HYDRAULIC LEAKAGE FROM THE PRESSURE HOSE ASSEMBLY OF NWS ACTUATOR DURING APPROACH TO RCH. SO DIVERTED BACK TO KTM</t>
  </si>
  <si>
    <t>STA-621</t>
  </si>
  <si>
    <t xml:space="preserve">Weather- Visibility </t>
  </si>
  <si>
    <t>CAPT. S. KUNWAR F/O. K. SAPKOTA , A/H. N. TAMANG</t>
  </si>
  <si>
    <t>VNNG</t>
  </si>
  <si>
    <t>VNST</t>
  </si>
  <si>
    <t>CAPT. R. DANGOL, CAPT. S. GURAGAIN, A/H. N. THAPALIYA</t>
  </si>
  <si>
    <t>STA-501</t>
  </si>
  <si>
    <t>VNKT</t>
  </si>
  <si>
    <t>VNLK</t>
  </si>
  <si>
    <t>CAPT. D. GIRI         F/O. S.K. PANDEY , A/H. N. THING</t>
  </si>
  <si>
    <t>STA 601</t>
  </si>
  <si>
    <t>weather -Due Fog</t>
  </si>
  <si>
    <t>CAPT. S. KUNWAR,    F/O P.K  MANDAL,          A/H C. MALLA</t>
  </si>
  <si>
    <t>Capt D .GIRI             F/O R. K.C                               A/H N. TAMANG</t>
  </si>
  <si>
    <t>CAPT. S. KUNWAR,    F/O K. SAPKOTA,          A/H A. KUNWAR</t>
  </si>
  <si>
    <t>STA-603</t>
  </si>
  <si>
    <t>weather deteriorating</t>
  </si>
  <si>
    <t>Capt D.K.SAH             Capt. S. Guragain           A/H N. Tamang</t>
  </si>
  <si>
    <t>CAPT. R. DANGOL,  F/O K. SAPKOTA,    A/H. N. TAMANG</t>
  </si>
  <si>
    <t>Airport closed</t>
  </si>
  <si>
    <t>Capt D.K.SAH             F/O K. SAPKOTA         A/H C. MALLA</t>
  </si>
  <si>
    <t>Capt A.P PRADHAN            Capt. S. GURAGAIN           A/H S. ADHIKARI</t>
  </si>
  <si>
    <t xml:space="preserve">   </t>
  </si>
  <si>
    <t>SRM Risk Register sheet-2024</t>
  </si>
  <si>
    <t>Hazard ID</t>
  </si>
  <si>
    <t>SRM Date</t>
  </si>
  <si>
    <t xml:space="preserve">Ultimate Consequence </t>
  </si>
  <si>
    <t>Existing Risk</t>
  </si>
  <si>
    <t>Resultant Risk</t>
  </si>
  <si>
    <t xml:space="preserve">Concerned Department </t>
  </si>
  <si>
    <t>Severity</t>
  </si>
  <si>
    <t>Probability</t>
  </si>
  <si>
    <t>Risk Index</t>
  </si>
  <si>
    <t>Risk Tolerability</t>
  </si>
  <si>
    <t>Follow-up</t>
  </si>
  <si>
    <t>Date completed</t>
  </si>
  <si>
    <t>SA/OPS/MOC/SRM/01</t>
  </si>
  <si>
    <t>Potential safety issue issues due to overlooked or delayed maintenance</t>
  </si>
  <si>
    <t>D</t>
  </si>
  <si>
    <t>1D</t>
  </si>
  <si>
    <t>Acceptable</t>
  </si>
  <si>
    <t>145- engineering</t>
  </si>
  <si>
    <t>SA/OPS/MOC/SRM/02</t>
  </si>
  <si>
    <t>Reduced safety standards, delayed inspections or missed maintenance tasks</t>
  </si>
  <si>
    <t>SA/OPS/MOC/SRM/03</t>
  </si>
  <si>
    <t>Safety violations, potential fines, gronding of aircraft</t>
  </si>
  <si>
    <t>B</t>
  </si>
  <si>
    <t>3B</t>
  </si>
  <si>
    <t>Tolerable</t>
  </si>
  <si>
    <t>1B</t>
  </si>
  <si>
    <t>within a month of official appointment</t>
  </si>
  <si>
    <t>Training manager/ Amo/ Engineering department</t>
  </si>
  <si>
    <t>Management should act as soon as possible to facilitate issued raised by staffs</t>
  </si>
  <si>
    <t>Safety Survey</t>
  </si>
  <si>
    <t>There is unavailability of trolley to carry heavy loads from one place to another</t>
  </si>
  <si>
    <t>There isn’t any safety shoes for technicians</t>
  </si>
  <si>
    <t>There is no safety cordon while boarding passenger</t>
  </si>
  <si>
    <t>During GPU removing stage after LH Engine start, some of the pilots release start locks immediately which causes forward air blow making it very difficult to work.</t>
  </si>
  <si>
    <t>Occurrence report should be further encouraged</t>
  </si>
  <si>
    <t>There is difficulty while carrying GPU from one pace to another as there is no brake causing injuries also</t>
  </si>
  <si>
    <t xml:space="preserve">Delay in salary payments </t>
  </si>
  <si>
    <t>Corporate/ AE</t>
  </si>
  <si>
    <t xml:space="preserve">Corporate department </t>
  </si>
  <si>
    <t>Flight Operations department</t>
  </si>
  <si>
    <t>corporate/ Finance</t>
  </si>
  <si>
    <t>Salary payment policy created and submitted to CSD as well</t>
  </si>
  <si>
    <t>SA-ORG-160-024</t>
  </si>
  <si>
    <t>SA-ORG-161-024</t>
  </si>
  <si>
    <t>SA-ORG-162-024</t>
  </si>
  <si>
    <t>SA-ORG-163-024</t>
  </si>
  <si>
    <t>SA-ORG-164-024</t>
  </si>
  <si>
    <t>SA-ORG-165-024</t>
  </si>
  <si>
    <t>SA-ORG-166-024</t>
  </si>
  <si>
    <t>SA-ORG-167-024</t>
  </si>
  <si>
    <t>SA-TECH-159-024</t>
  </si>
  <si>
    <t>Organizational Facility</t>
  </si>
  <si>
    <t xml:space="preserve">The flight on 5th October 2024 from Ramechaap to Lukla (Flight 9NAHR, STA-901) experienced delays due to Lukla’s closure, with standby time of 25 minutes before departure. After coordinating with other traffic and receiving permission, the flight proceeded via the south track under VMC conditions, despite hearing unprofessional comments on COM 2. The flight successfully landed at Lukla, and later, after departing Lukla, all aircraft diverted to Kathmandu due to changing weather.
</t>
  </si>
  <si>
    <t>SA-ORG-168-024</t>
  </si>
  <si>
    <t>Other</t>
  </si>
  <si>
    <t>Delays in posting reservation details in viber and frequent changes in reservation details and their implications for operational staff which have increased workload, leading to concerns about efficiency and staff well-being due to limited manpower</t>
  </si>
  <si>
    <t>Diverted from Dudh koshi river valley due LUA weather</t>
  </si>
  <si>
    <t>Capt A.P PRADHAN            Capt. BHARAT THAPA           A/H S. ADHIKARI</t>
  </si>
  <si>
    <t>SA-ORG-169-024</t>
  </si>
  <si>
    <t>On 7th Oct. 2024, the crew were operating RNP-LUA sector, flight no. STA-913 with LUA WX - SW 106-08 KTS 7 km FEW 010/020 SCT 040 and PPL - S105 KTS 10 KM FEW 010 SCT 030. After reporting at Phaplu pass 12,000 ft around 07:12 UTC, with permission from Kathmandu control due to clouds. Upon changeover to Lukla tower around E. Kangel area, the crew advised their position and level. They weren’t given reciprocal traffic TRA 116 by Kathmandu control, Lukla tower. Initially contact wasn't made by traffic as well. As all traffic were following seasonal track i.e. via Lamjura pass, crew weren’t expecting reciprocal traffic without information. As soon as they saw traffic on TCAS, following TRA 116 made call and they immediately made descent and crossed traffic visually with +1100 feet of separation at the time of crossing around Kangel area.</t>
  </si>
  <si>
    <t>Forwarded to NAST CAAN</t>
  </si>
  <si>
    <t>Diverted to RHP due to enroute weather</t>
  </si>
  <si>
    <t>sector with LUA wx NE/03 5km F005/010 BKN 050, till. Phaplu we maintained 11500 ft, due low clouds,   rising clouds we climbed till 12500 ft to maintain VFR. After reaching approx 4-5 miles to 105 ridge we  couldn't see lukla valley and as per marketing instructions we proceeded to ramechhap. but due traffic chaos and low clouds we checked overhead RHP around 6500 ft and diverted back to KTM.</t>
  </si>
  <si>
    <t>As we were east of Phaplu, Lukla arrival was closed for lifting on final. Final ATC informed us and we were moade a diversion to RHP. We safely landed in RHP</t>
  </si>
  <si>
    <t>KTM-LUA flight diverted to RHP due low visibility</t>
  </si>
  <si>
    <t>STA 603</t>
  </si>
  <si>
    <t>enroute weather</t>
  </si>
  <si>
    <t>CAPT. S. KUNWAR,    F/O K. SAPKOTA,          A/H D. ADHIKARI</t>
  </si>
  <si>
    <t>CAPT. R. DANGOL,    F/O R. KC,                A/H A. KUNWAR</t>
  </si>
  <si>
    <t>CAPT. S. KUNWAR   F/O. P.K. MANDAL,      A/H. C. MALLA</t>
  </si>
  <si>
    <t>LUA arrival closed</t>
  </si>
  <si>
    <t>STA 611</t>
  </si>
  <si>
    <t>CAPT. B. THAPA,      F/O S.K. PANDEY,   A/H N. TAMANG</t>
  </si>
  <si>
    <t>CAAN/NAST</t>
  </si>
  <si>
    <t>Accident/Incident Report</t>
  </si>
  <si>
    <t xml:space="preserve">STA 903 D was given clearance from Lukla Tower for RWY 06. When they were past Dudhkoshi river at 9300 ft the crew observed a helicopter was observed approaching below them. To ensure safety, Captain Kunwar initiated a go-around procedure and made a left climbing turn, complying with the Standard Operating Procedures (SOP). Communication between Lukla ATC and the helicopter was found to be unclear, contributing to a potential traffic conflict, which was safely mitigated by our flight crew.
After climbing to 9500 ft and exiting the Lukla valley, the crew re-coordinated with ATC for a second approach, resulting in a safe landing at Lukla airport. There were no injuries or damage to the aircraft. 
</t>
  </si>
  <si>
    <t>Investigation conducted and report sent to CAAN</t>
  </si>
  <si>
    <t>After take off from KEP departing for IMK, LH landing gear did not retract</t>
  </si>
  <si>
    <t>3rd oct 2024/4th oct 2024</t>
  </si>
  <si>
    <t>SA-Occ-13-2024</t>
  </si>
  <si>
    <t>Air in hydraulic line suspected. All landing hydraulic pipe line and system bleeding was carried out IAW AMM  CHAP 32-00-00 and 29-00-00</t>
  </si>
  <si>
    <t>30/10/2024</t>
  </si>
  <si>
    <t>It was reported that during the  Pax boarding from Phaplu to Kathmandu, one of  the staff closed the door but the door was not locked properly and when the reporter signaled him to say the same , the staff went from there and didn’t wait for the thumbs up signal and reporter locked the door himself and reported to PIC too.</t>
  </si>
  <si>
    <t>It was reported that during the  Pax boarding from  Kathmandu to Lukla   the Passengers were not seated properly and were near the main door, the ground staff closed the door resulting the harm in passenger as the dor handle touched the passenger. The groung staff did not wait for the reporter signal to close the door. When ground staff closed the door the reporter was assisting the passengers towards their respective seats</t>
  </si>
  <si>
    <t>At 07:54 AM, the aircraft landed at KTM. Whiel deboarding the passengers, the reported and PIC noticed that the aircraft is about to be refueled. The reporter said them not to refuel the aircraft while passenger are still onboard. According to our Cabin Crew Manual Clause 2.2.2. refueling/ defueling with passengger on board or during embarkation, disembarkation is prohibited in Siuta Air. The fueler Told the reporter that they are not fuelling but when the reporter checked after deboarding the passengers reporters realized thst they are already refueled the passengers the reporteer realized that they have already refueled the aircraft on one side and were about to move to another side.</t>
  </si>
  <si>
    <t>During aircraft departure from Lukla to Ramechhap , the flight crew initially planned to track via South-track. But reporters got PIREP from company traffic then we track visibility with Lamjura being covered, Thereforeflight crews were forced to deviate from their route. Simialry the new flight course too us north of Phaplu, Where flight crews encountered an inbound rotor heading for Lukla. At one point the vertical seperation from the rotor was 700 ft.</t>
  </si>
  <si>
    <t>STA 919</t>
  </si>
  <si>
    <t>weather</t>
  </si>
  <si>
    <t>Business Operation/Engneering department</t>
  </si>
  <si>
    <t>RHP-LUA flight diverted to RHP due enroute weather</t>
  </si>
  <si>
    <t>It was reported that during the  Pax boarding from Phaplu to Kathmandu, one of  the staff closed the door but the door was not locked properly and when the reporter signaled him to say the same , the staff went from there and didn’t wait for the thumbs up signal and reporter locked the door himself and reported to PIC too</t>
  </si>
  <si>
    <t>18/11/2024</t>
  </si>
  <si>
    <t>It was reported that Safety instruction cards are not up to the Standards. According to the reporter, the Safety instruction cards are not laminated and can be easily torn. Some of them are already torn. Similarly, general cleaniness of cabin not clean and seats cloth is torn and stained. Moreover, Windows are not clean, so passengers cannot see outside properly.</t>
  </si>
  <si>
    <t xml:space="preserve">    NO</t>
  </si>
  <si>
    <t>145 engineering</t>
  </si>
  <si>
    <t>25/11/ 2024</t>
  </si>
  <si>
    <t>It was reported that flight from KTM to LUA, the aircraft was 10NM E and 9500ft. Due to closing of LUA arrival, the aircraft was diverted back to KTM</t>
  </si>
  <si>
    <t>CAPT. B. THAPA,      F/O A. RAWAT    ,   A/H G. SHRESTHA</t>
  </si>
  <si>
    <t>KTM-LUA flight diverted to KTM due arrival closed</t>
  </si>
  <si>
    <t>arrival closed</t>
  </si>
  <si>
    <t>It was reported that flight from  LUA to KTM, the ground staff of LUA boarded the passengers without the celerance from cabin crew</t>
  </si>
  <si>
    <t>26/11/2024</t>
  </si>
  <si>
    <t>SA-ORG-170-024</t>
  </si>
  <si>
    <t>SA-ORG-171-024</t>
  </si>
  <si>
    <t>SA-ORG-172-024</t>
  </si>
  <si>
    <t>SA-ORG-173-024</t>
  </si>
  <si>
    <t>SA-ORG-174-024</t>
  </si>
  <si>
    <t>SA-ORG-175-024</t>
  </si>
  <si>
    <t>16/11/2024</t>
  </si>
  <si>
    <t>The co-pilot started the No. 2 engine without marshaller clearance, while the captain violated safety protocols by being in the danger zone near the No. 1 engine and walking through the propeller area, leading to concerns about ramp safety and adherence to established procedures.</t>
  </si>
  <si>
    <t>SA-ORG-176-024</t>
  </si>
  <si>
    <t>It was reported that, During aircraft departure from Lukla to Ramechhap , the flight crew initially planned to track via South-track. But reporters got PIREP from company traffic then they track visibility with Lamjura being covered, Thereforeflight crews were forced to deviate from their route. Simialry, the new flight course too us north of Phaplu, Where flight crews encountered an inbound rotor heading for Lukla. At one point the vertical seperation from the rotor was 700 ft.</t>
  </si>
  <si>
    <t>During the Second Flight af day, from Imkto KEP we were following shree CRJ-700 for landing sequence on runway 26. After Shree CRJ-700 landed, they wee given clearance to vacate runway taxiway B. since CRJ-700 took those time to back track and vacate, I as pilot flying decided to go around. nsince we were very near the threshold around 100 ft AGL. but PTC took control and landed the aircraft with landing clearance given by ATC 10-20 ft to runway</t>
  </si>
  <si>
    <t>STA 621</t>
  </si>
  <si>
    <t>13:54 PM</t>
  </si>
  <si>
    <t>08:17</t>
  </si>
  <si>
    <t>weather low visibility</t>
  </si>
  <si>
    <t>It was reported that flight from  LUA to KTM, Due to too much KTM holding, the aircraft was diverted to RHP</t>
  </si>
  <si>
    <t>CAPT. D. GIRI         F/O. P.K. MANDAL , A/H. D. ADHIKARI</t>
  </si>
  <si>
    <t xml:space="preserve"> LUA to KTM diverted to KTM  Due to too much KTM holding</t>
  </si>
  <si>
    <t>It was reported about a recent incident to Corporate Safety Department in which a corporate employee reacted unprofessionally during a discussion regarding discrepancies in salary and allowance deposits for Ashoj and Kartik. The employee tore a document and scattered the pieces on the floor in a visible display of disrespect</t>
  </si>
  <si>
    <t>It was reported that during taxing out for Runway 26 VNNG, Cabin crew observed fuel leakage from RH engine, turbine drain raive, thus checked and returned to Ramp for further inspection, internal leak observed from environment valve so couldnot continue or commence flight with known fuelor oil leaks as per POH</t>
  </si>
  <si>
    <t>5th Dec 2024</t>
  </si>
  <si>
    <t>SA-Occ-14-2024</t>
  </si>
  <si>
    <t>leakage observed during taxi from RH engine</t>
  </si>
  <si>
    <t>returned to Ramp for further inspection, internal leak observed from environment valve so couldnot continue or commence flight with known fuelor oil leaks as per POH</t>
  </si>
  <si>
    <t xml:space="preserve">Approved CAAN letter not found on Operations Manual-C. NCF-  Level 2
</t>
  </si>
  <si>
    <t>Safety inspection  (Nepalgung)</t>
  </si>
  <si>
    <t xml:space="preserve">Ground Handling Manual was not available at KEP Business Operations office. NCF- Level 2
</t>
  </si>
  <si>
    <t xml:space="preserve">Amendment 02 of Operations Manual-D not found to be updated and approval. NCF- Level 2
</t>
  </si>
  <si>
    <t xml:space="preserve">Referral documents/manuals not found to be updated as per the Technical  Publication Revision Status NCP-  Level 1
</t>
  </si>
  <si>
    <t>Technical Library</t>
  </si>
  <si>
    <t xml:space="preserve">Acceptance verification of appointment letter was not available. NCF- Level 2
</t>
  </si>
  <si>
    <t xml:space="preserve">Letter of appointment does not match with SMS requirements. NCF- Level 2
</t>
  </si>
  <si>
    <t xml:space="preserve">On random sampling, load planning was found unsatisfactory. 
1. The aircraft registration was wrongly noted.
2. The load was wrongly placed.
NCF- Level 2
</t>
  </si>
  <si>
    <t>Business Operations Department/ Operations Department</t>
  </si>
  <si>
    <t xml:space="preserve">First Aid training was not given to concerned staff. NCF- Level 2
</t>
  </si>
  <si>
    <t xml:space="preserve">First Aid kit not available. NCF- Level 2
</t>
  </si>
  <si>
    <t xml:space="preserve">Check-in and Check-out time in staff attendance record was not available. SRC- Level 2
</t>
  </si>
  <si>
    <t>Business Operations Department / Corporate Department</t>
  </si>
  <si>
    <t xml:space="preserve">Departmental Meeting minutes were not available for any meetings conducted. NCF- Level 2
</t>
  </si>
  <si>
    <t xml:space="preserve">Flight movements were not recorded. SRC- Level
</t>
  </si>
  <si>
    <t xml:space="preserve">Preflight inspection authority for Pilot-in-Command (PIC). NCF- Level 2
</t>
  </si>
  <si>
    <t>Engineering / Operations Department</t>
  </si>
  <si>
    <t xml:space="preserve">SMS and ERP manual not found to be updated as per the latest revision NCP-  Level 1
</t>
  </si>
  <si>
    <t>Safety inspection  (Lukla)</t>
  </si>
  <si>
    <t xml:space="preserve">Air protection not available for marshallar NCF- Level 2
</t>
  </si>
  <si>
    <t xml:space="preserve">Staff attendance record was not available. SRC- Level 2
</t>
  </si>
  <si>
    <t xml:space="preserve">Lack of marshaling training for staffs NCF- Level 2
</t>
  </si>
  <si>
    <t xml:space="preserve">SMS training for staffs 
to be conducted   NCF- Level 2
</t>
  </si>
  <si>
    <t>Business Operations/ Corporate Safety Department</t>
  </si>
  <si>
    <t xml:space="preserve">Training records of ground staffs not available.
NCF- Level 2
</t>
  </si>
  <si>
    <t xml:space="preserve">Business Operations
Department
</t>
  </si>
  <si>
    <t xml:space="preserve">Placard showing flight destination not available in passenger check-in counter OBS-Level 3
</t>
  </si>
  <si>
    <t xml:space="preserve">Corporate  Department/
Business Operations
</t>
  </si>
  <si>
    <t xml:space="preserve">First aid kit was not available SRC- Level 2
</t>
  </si>
  <si>
    <t xml:space="preserve">First Aid training was not given to concerned ground staff. NCF- Level 2
</t>
  </si>
  <si>
    <t xml:space="preserve">Approved CAAN letter not found on any manuals maintained (soft copy). NCF-  Level 2
</t>
  </si>
  <si>
    <t>Technical Library CAMO</t>
  </si>
  <si>
    <t xml:space="preserve">Records of revision not found to be updated in the maintained manuals/documents. NCP-  Level 2
</t>
  </si>
  <si>
    <t xml:space="preserve">Non-standard JD distributed to staffs and acceptance verification not available on JD NCF- Level 2
</t>
  </si>
  <si>
    <t xml:space="preserve">Staff ID card designation not matching JD of ground staff NCF- Level 2
</t>
  </si>
  <si>
    <t xml:space="preserve">PIC ID card validity expired along with incorrect company name. NCF- Level 2
</t>
  </si>
  <si>
    <t xml:space="preserve">Operations Flight plan missing PIC signature                         NCF- Level 2
</t>
  </si>
  <si>
    <t xml:space="preserve">Duty handover and takeover verification by Flight Dispatcher not available in roster.
NCF- Level 2
</t>
  </si>
  <si>
    <t xml:space="preserve">Personnel file were not maintained satisfactorily.
Training records, appointment letter, employee identity documents were not available on the personnel file.
NCF- Level 2
</t>
  </si>
  <si>
    <t xml:space="preserve">Staff indoctrination training not done
SRC- Level 2
</t>
  </si>
  <si>
    <t xml:space="preserve">Departmental Meeting minutes/ Inter office memos, Circulars were not available. NCF- Level 2
</t>
  </si>
  <si>
    <t xml:space="preserve">Staff attendance record was not available. SRC- Level 2
</t>
  </si>
  <si>
    <t xml:space="preserve">Requisition records were not maintained. NCF- Level 2
</t>
  </si>
  <si>
    <t xml:space="preserve">Employee at the check-in counter unfamiliar with restricted item rejection procedure
 NCF- Level 2 
</t>
  </si>
  <si>
    <t xml:space="preserve">Flight number not shown in the passenger check-in-counter as per GHM 3.1 a) and 3.1 b)
NCF- Level 2
</t>
  </si>
  <si>
    <t xml:space="preserve">Material Inspection checklist was found to be improperly filled.
SRC- Level 2
</t>
  </si>
  <si>
    <t xml:space="preserve">Keyset in engineering toolbox was missing a key
NCF- Level 2
</t>
  </si>
  <si>
    <t xml:space="preserve">Index found on the document file on-board the aircraft was not authorized. Similarly, some of the documents (like DI checklist) included in the index was not available in the on-board document file. NCF- Level 2
</t>
  </si>
  <si>
    <t>Engineering Department/Engineering Store</t>
  </si>
  <si>
    <t xml:space="preserve">First aid training for technical staffs was not done
SRC- Level 2
</t>
  </si>
  <si>
    <t>Training department/ CAMO</t>
  </si>
  <si>
    <t>6-7th November 2024</t>
  </si>
  <si>
    <t>6-7th November 2031</t>
  </si>
  <si>
    <t>30th Oct-4th Nov, 2024</t>
  </si>
  <si>
    <t>8th-9th Nov, 2024</t>
  </si>
  <si>
    <t>Flight diverted from 34 DME 'NGJ' VOR due enroute icing to KEP</t>
  </si>
  <si>
    <t>RAR</t>
  </si>
  <si>
    <t>CAPT. D. GIRI         F/O. .K. PACHHAI , A/H. G. SHRESTHA</t>
  </si>
  <si>
    <t>SA-ORG-177-024</t>
  </si>
  <si>
    <t>Technical Library/ CAMO</t>
  </si>
  <si>
    <t>SA-ORG-178-024</t>
  </si>
  <si>
    <t>SA-ORG-179-024</t>
  </si>
  <si>
    <t>SA-ORG-180-024</t>
  </si>
  <si>
    <t>SA-ORG-181-024</t>
  </si>
  <si>
    <t>SA-ORG-182-024</t>
  </si>
  <si>
    <t>SA-ORG-183-024</t>
  </si>
  <si>
    <t>SA-ORG-184-024</t>
  </si>
  <si>
    <t>SA-ORG-185-024</t>
  </si>
  <si>
    <t>SA-ORG-186-024</t>
  </si>
  <si>
    <t>SA-ORG-187-024</t>
  </si>
  <si>
    <t>SA-ORG-188-024</t>
  </si>
  <si>
    <t>SA-ORG-189-024</t>
  </si>
  <si>
    <t>SA-ORG-190-024</t>
  </si>
  <si>
    <t>SA-ORG-191-024</t>
  </si>
  <si>
    <t>SA-ORG-192-024</t>
  </si>
  <si>
    <t>SA-ORG-194-024</t>
  </si>
  <si>
    <t>SA-ORG-195-024</t>
  </si>
  <si>
    <t>SA-ORG-196-024</t>
  </si>
  <si>
    <t>SA-ORG-198-024</t>
  </si>
  <si>
    <t>SA-ORG-199-024</t>
  </si>
  <si>
    <t>SA-ORG-200-024</t>
  </si>
  <si>
    <t>SA-ORG-201-024</t>
  </si>
  <si>
    <t>SA-ORG-202-024</t>
  </si>
  <si>
    <t>SA-ORG-203-024</t>
  </si>
  <si>
    <t>SA-ORG-204-024</t>
  </si>
  <si>
    <t>SA-ORG-205-024</t>
  </si>
  <si>
    <t>SA-ORG-206-024</t>
  </si>
  <si>
    <t>SA-ORG-207-024</t>
  </si>
  <si>
    <t>SA-ORG-208-024</t>
  </si>
  <si>
    <t>SA-ORG-209-024</t>
  </si>
  <si>
    <t>SA-ORG-210-024</t>
  </si>
  <si>
    <t>SA-ORG-211-024</t>
  </si>
  <si>
    <t>SA-ORG-212-024</t>
  </si>
  <si>
    <t>SA-ORG-213-024</t>
  </si>
  <si>
    <t>SA-ORG-214-024</t>
  </si>
  <si>
    <t>SA-ORG-215-024</t>
  </si>
  <si>
    <t>SA-ORG-216-024</t>
  </si>
  <si>
    <t>SA-ORG-217-024</t>
  </si>
  <si>
    <t>SA-ORG-218-024</t>
  </si>
  <si>
    <t>SA-ORG-219-024</t>
  </si>
  <si>
    <t>organizational facility</t>
  </si>
  <si>
    <t>organization facility</t>
  </si>
  <si>
    <t xml:space="preserve">Preflight inspection authority for Pilot-in-Command (PIC) N/G. NCF- Level 2
</t>
  </si>
  <si>
    <t>31st Oct-4th Nov, 2024</t>
  </si>
  <si>
    <t>32nd Oct-4th Nov, 2024</t>
  </si>
  <si>
    <t>33rd Oct-4th Nov, 2024</t>
  </si>
  <si>
    <t>34th Oct-4th Nov, 2024</t>
  </si>
  <si>
    <t>SA-ORG-193-024</t>
  </si>
  <si>
    <t>SA-ORG-197-041</t>
  </si>
  <si>
    <t>SA-ORG-220-024</t>
  </si>
  <si>
    <t>SA-ORG-221-024</t>
  </si>
  <si>
    <t>SA-ORG-222-024</t>
  </si>
  <si>
    <t>SA-ORG-223-024</t>
  </si>
  <si>
    <t>SA-ORG-224-024</t>
  </si>
  <si>
    <t>Tool maintained at Sita Air Ltd. should be marked.</t>
  </si>
  <si>
    <t xml:space="preserve"> Fan should be maintained at the workplace.</t>
  </si>
  <si>
    <t>Portable lamp should be maintained.</t>
  </si>
  <si>
    <t xml:space="preserve"> Safety Bulletin issued by CSD should be maintained.</t>
  </si>
  <si>
    <t>Flight Operations Department</t>
  </si>
  <si>
    <t>Engineering / Flight Operations Department</t>
  </si>
  <si>
    <t>Business Operations Department/ Flight Operations Department</t>
  </si>
  <si>
    <t xml:space="preserve">It was reported that there is frequent use of the incorrect company name, "Sita Air Pvt. Ltd.", on Serviceable Item Cards under Non-Routine Cards. </t>
  </si>
  <si>
    <t xml:space="preserve"> VSR</t>
  </si>
  <si>
    <t>SA-ORG-225-024</t>
  </si>
  <si>
    <t xml:space="preserve"> It was reported that there is frequent use of the incorrect company name, "Sita Air Pvt. Ltd.", on Serviceable Item Cards under Non-Routine Cards. 
</t>
  </si>
  <si>
    <t>Email has been sent by Engeering department 145 and notified about the issue</t>
  </si>
  <si>
    <t>VNBR</t>
  </si>
  <si>
    <t>Capt D.K.SAH             F/O K .Sapkota         A/H N.Thing</t>
  </si>
  <si>
    <t>Diverted to VNNG due to weather, after reaching 10 NM to VNBR the crew was reeported that wind at VNBR increased to W/18 KTS and the airport was closed so the aircraft was diverted to VNNG for safe Operations</t>
  </si>
  <si>
    <t>Feb 2025 follow up</t>
  </si>
  <si>
    <t xml:space="preserve">follow up Dec 2024 end </t>
  </si>
  <si>
    <t>Cargo van for GPU carrying</t>
  </si>
  <si>
    <t>follow up by Jan 2025</t>
  </si>
  <si>
    <t xml:space="preserve">The absence of breathalyzer tests in Sita Air Ltd.'s engineering department . It was found that there was no breathalyzer test conducted for the engineering department </t>
  </si>
  <si>
    <t>25/12/2024</t>
  </si>
  <si>
    <t>SA-ORG-226-024</t>
  </si>
  <si>
    <t xml:space="preserve">  The absence of breathalyzer tests in Sita Air Ltd.'s engineering department . It was found that there was no breathalyzer test conducted for the engineering department 
</t>
  </si>
  <si>
    <t xml:space="preserve"> </t>
  </si>
  <si>
    <t>Technical-SCF-NP / Landing gear</t>
  </si>
  <si>
    <t>Technical-SCF-NP / RAMP</t>
  </si>
  <si>
    <t>Technical-SCF-PP/ RAMP</t>
  </si>
  <si>
    <t>Technical-air traffic</t>
  </si>
  <si>
    <t>Investigation completed by CAMO</t>
  </si>
  <si>
    <t>Investigation requsted by QA to CAMO. Investigation report submitted by CAMO to CSD as well</t>
  </si>
  <si>
    <t>follow-up</t>
  </si>
  <si>
    <t>follow up</t>
  </si>
  <si>
    <t>Follow up required</t>
  </si>
  <si>
    <t xml:space="preserve">Email sent to 145 and training department regarding the same, 145 has asked the training department to grant permission for training. Training done by P. Chaudhary Sir </t>
  </si>
  <si>
    <t>New Manual OMD part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</si>
</sst>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b/>
      <sz val="16"/>
      <color theme="1"/>
      <name val="Calibri"/>
      <family val="2"/>
      <scheme val="minor"/>
    </font>
    <font>
      <b/>
      <sz val="24"/>
      <color theme="1"/>
      <name val="Cambria"/>
      <family val="1"/>
      <scheme val="major"/>
    </font>
    <font>
      <b/>
      <i/>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i/>
      <sz val="22"/>
      <color theme="1"/>
      <name val="Cambria"/>
      <family val="1"/>
      <scheme val="major"/>
    </font>
    <font>
      <b/>
      <sz val="22"/>
      <color theme="1"/>
      <name val="Cambria"/>
      <family val="1"/>
      <scheme val="major"/>
    </font>
    <font>
      <sz val="11"/>
      <color theme="1"/>
      <name val="Times New Roman"/>
      <family val="1"/>
    </font>
    <font>
      <b/>
      <sz val="18"/>
      <color theme="1"/>
      <name val="Times New Roman"/>
      <family val="1"/>
    </font>
    <font>
      <b/>
      <sz val="22"/>
      <color theme="1"/>
      <name val="Times New Roman"/>
      <family val="1"/>
    </font>
    <font>
      <b/>
      <sz val="22"/>
      <color theme="1"/>
      <name val="Calibri"/>
      <family val="2"/>
      <scheme val="minor"/>
    </font>
    <font>
      <sz val="12"/>
      <color theme="1"/>
      <name val="Times New Roman"/>
      <family val="1"/>
    </font>
    <font>
      <b/>
      <sz val="11"/>
      <color theme="1"/>
      <name val="Times New Roman"/>
      <family val="1"/>
    </font>
    <font>
      <b/>
      <sz val="12"/>
      <color theme="1"/>
      <name val="Times New Roman"/>
      <family val="1"/>
    </font>
    <font>
      <b/>
      <i/>
      <sz val="11"/>
      <color theme="1"/>
      <name val="Times New Roman"/>
      <family val="1"/>
    </font>
    <font>
      <b/>
      <i/>
      <sz val="11"/>
      <name val="Times New Roman"/>
      <family val="1"/>
    </font>
    <font>
      <sz val="11"/>
      <color rgb="FF202124"/>
      <name val="Times New Roman"/>
      <family val="1"/>
    </font>
    <font>
      <b/>
      <sz val="20"/>
      <color theme="1"/>
      <name val="Times New Roman"/>
      <family val="1"/>
    </font>
    <font>
      <b/>
      <sz val="24"/>
      <color theme="1"/>
      <name val="Times New Roman"/>
      <family val="1"/>
    </font>
    <font>
      <sz val="12"/>
      <color rgb="FF000000"/>
      <name val="Times New Roman"/>
      <family val="1"/>
    </font>
    <font>
      <sz val="9.6"/>
      <color rgb="FF0D0D0D"/>
      <name val="Segoe UI"/>
      <family val="2"/>
    </font>
    <font>
      <sz val="14"/>
      <color theme="1"/>
      <name val="Times New Roman"/>
      <family val="1"/>
    </font>
  </fonts>
  <fills count="12">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FF"/>
        <bgColor indexed="64"/>
      </patternFill>
    </fill>
    <fill>
      <patternFill patternType="solid">
        <fgColor theme="9" tint="0.39997558519241921"/>
        <bgColor indexed="64"/>
      </patternFill>
    </fill>
    <fill>
      <patternFill patternType="solid">
        <fgColor theme="9"/>
        <bgColor indexed="64"/>
      </patternFill>
    </fill>
    <fill>
      <patternFill patternType="solid">
        <fgColor rgb="FFFFFF99"/>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359">
    <xf numFmtId="0" fontId="0" fillId="0" borderId="0" xfId="0"/>
    <xf numFmtId="0" fontId="3" fillId="3" borderId="2" xfId="0" applyFont="1" applyFill="1" applyBorder="1" applyAlignment="1">
      <alignment vertical="center"/>
    </xf>
    <xf numFmtId="0" fontId="3" fillId="3" borderId="9" xfId="0" applyFont="1" applyFill="1" applyBorder="1" applyAlignment="1">
      <alignment vertical="center"/>
    </xf>
    <xf numFmtId="0" fontId="3" fillId="3" borderId="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xf>
    <xf numFmtId="0" fontId="9" fillId="0" borderId="0" xfId="0" applyFont="1"/>
    <xf numFmtId="0" fontId="9" fillId="0" borderId="0" xfId="0" applyFont="1" applyAlignment="1">
      <alignment horizontal="center" wrapText="1"/>
    </xf>
    <xf numFmtId="0" fontId="0" fillId="0" borderId="0" xfId="0" applyAlignment="1">
      <alignment horizontal="left"/>
    </xf>
    <xf numFmtId="0" fontId="0" fillId="0" borderId="0" xfId="0" applyAlignment="1">
      <alignmen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4" fillId="0" borderId="0" xfId="0" applyFont="1"/>
    <xf numFmtId="0" fontId="9" fillId="0" borderId="18" xfId="0" applyFont="1" applyBorder="1" applyAlignment="1">
      <alignment horizontal="left" vertical="center" wrapText="1"/>
    </xf>
    <xf numFmtId="0" fontId="17" fillId="3" borderId="2" xfId="1" applyFont="1" applyFill="1" applyBorder="1" applyAlignment="1">
      <alignment horizontal="left" vertical="center"/>
    </xf>
    <xf numFmtId="0" fontId="16" fillId="3" borderId="2" xfId="0" applyFont="1" applyFill="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2" borderId="1" xfId="0" applyFont="1" applyFill="1" applyBorder="1" applyAlignment="1">
      <alignment horizontal="left" vertical="center" wrapText="1"/>
    </xf>
    <xf numFmtId="0" fontId="15" fillId="3" borderId="2"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left" vertical="top" wrapText="1"/>
    </xf>
    <xf numFmtId="0" fontId="13" fillId="0" borderId="18" xfId="0" applyFont="1" applyBorder="1" applyAlignment="1">
      <alignment horizontal="center" vertical="center" wrapText="1"/>
    </xf>
    <xf numFmtId="0" fontId="13" fillId="0" borderId="18" xfId="0" applyFont="1" applyBorder="1" applyAlignment="1">
      <alignment horizontal="left" vertical="center" wrapText="1"/>
    </xf>
    <xf numFmtId="0" fontId="13" fillId="2" borderId="18" xfId="0" applyFont="1" applyFill="1" applyBorder="1" applyAlignment="1">
      <alignment horizontal="left" vertical="center" wrapText="1"/>
    </xf>
    <xf numFmtId="0" fontId="13" fillId="2" borderId="18" xfId="0" applyFont="1" applyFill="1" applyBorder="1" applyAlignment="1">
      <alignment horizontal="center" vertical="center" wrapText="1"/>
    </xf>
    <xf numFmtId="17" fontId="13" fillId="2" borderId="18" xfId="0" applyNumberFormat="1"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2" borderId="18" xfId="0" applyFont="1" applyFill="1" applyBorder="1" applyAlignment="1">
      <alignment vertical="center" wrapText="1"/>
    </xf>
    <xf numFmtId="0" fontId="13" fillId="0" borderId="1" xfId="0" applyFont="1" applyBorder="1" applyAlignment="1">
      <alignment vertical="center" wrapText="1"/>
    </xf>
    <xf numFmtId="0" fontId="9" fillId="0" borderId="1" xfId="0" applyFont="1" applyBorder="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20"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9" fillId="0" borderId="0" xfId="0" applyFont="1" applyAlignment="1">
      <alignment vertical="center"/>
    </xf>
    <xf numFmtId="0" fontId="9" fillId="2" borderId="1" xfId="0" applyFont="1" applyFill="1" applyBorder="1" applyAlignment="1">
      <alignment horizontal="center" vertical="center"/>
    </xf>
    <xf numFmtId="0" fontId="14"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9" fillId="0" borderId="1" xfId="0" applyFont="1" applyBorder="1" applyAlignment="1">
      <alignment horizontal="left" wrapText="1"/>
    </xf>
    <xf numFmtId="0" fontId="9" fillId="0" borderId="1" xfId="0" applyFont="1" applyBorder="1" applyAlignment="1">
      <alignment horizontal="center"/>
    </xf>
    <xf numFmtId="0" fontId="9" fillId="0" borderId="1" xfId="0" applyFont="1" applyBorder="1" applyAlignment="1">
      <alignment horizontal="center" wrapText="1"/>
    </xf>
    <xf numFmtId="0" fontId="9" fillId="0" borderId="29" xfId="0" applyFont="1" applyBorder="1" applyAlignment="1">
      <alignment horizontal="left" vertical="center" wrapText="1"/>
    </xf>
    <xf numFmtId="0" fontId="9" fillId="0" borderId="30" xfId="0" applyFont="1" applyBorder="1" applyAlignment="1">
      <alignment horizontal="center" vertical="center" wrapText="1"/>
    </xf>
    <xf numFmtId="0" fontId="9" fillId="0" borderId="1" xfId="0" applyFont="1" applyBorder="1"/>
    <xf numFmtId="0" fontId="9" fillId="0" borderId="1" xfId="0" applyFont="1" applyBorder="1" applyAlignment="1">
      <alignment wrapText="1"/>
    </xf>
    <xf numFmtId="0" fontId="4" fillId="2" borderId="1" xfId="0" applyFont="1" applyFill="1" applyBorder="1" applyAlignment="1">
      <alignment horizontal="center" vertical="center" wrapText="1"/>
    </xf>
    <xf numFmtId="0" fontId="14" fillId="4" borderId="1" xfId="0" applyFont="1" applyFill="1" applyBorder="1" applyAlignment="1">
      <alignment horizontal="center"/>
    </xf>
    <xf numFmtId="0" fontId="0" fillId="0" borderId="1" xfId="0" applyBorder="1" applyAlignment="1">
      <alignment horizontal="center" wrapText="1"/>
    </xf>
    <xf numFmtId="0" fontId="0" fillId="0" borderId="1" xfId="0" applyBorder="1"/>
    <xf numFmtId="0" fontId="0" fillId="0" borderId="0" xfId="0" applyAlignment="1">
      <alignment horizontal="center" vertical="center" wrapText="1"/>
    </xf>
    <xf numFmtId="0" fontId="9" fillId="0" borderId="0" xfId="0" applyFont="1" applyAlignment="1">
      <alignment horizontal="left"/>
    </xf>
    <xf numFmtId="0" fontId="0" fillId="0" borderId="0" xfId="0" applyAlignment="1">
      <alignment wrapText="1"/>
    </xf>
    <xf numFmtId="0" fontId="0" fillId="0" borderId="1" xfId="0" applyBorder="1" applyAlignment="1">
      <alignment horizontal="center" vertical="center" wrapText="1"/>
    </xf>
    <xf numFmtId="20" fontId="0" fillId="0" borderId="1" xfId="0" applyNumberFormat="1" applyBorder="1" applyAlignment="1">
      <alignment horizontal="center" vertical="center" wrapText="1"/>
    </xf>
    <xf numFmtId="0" fontId="0" fillId="0" borderId="1" xfId="0" applyBorder="1" applyAlignment="1">
      <alignment horizontal="left" vertical="center" wrapText="1"/>
    </xf>
    <xf numFmtId="15" fontId="9" fillId="0" borderId="1" xfId="0" applyNumberFormat="1" applyFont="1" applyBorder="1" applyAlignment="1">
      <alignment vertical="center" wrapText="1"/>
    </xf>
    <xf numFmtId="15" fontId="0" fillId="0" borderId="1" xfId="0" applyNumberFormat="1" applyBorder="1" applyAlignment="1">
      <alignment horizontal="center" vertical="center"/>
    </xf>
    <xf numFmtId="20" fontId="0" fillId="0" borderId="1" xfId="0" quotePrefix="1" applyNumberFormat="1" applyBorder="1" applyAlignment="1">
      <alignment horizontal="center" vertical="center"/>
    </xf>
    <xf numFmtId="20" fontId="0" fillId="0" borderId="18" xfId="0" quotePrefix="1" applyNumberFormat="1" applyBorder="1" applyAlignment="1">
      <alignment horizontal="center" vertical="center"/>
    </xf>
    <xf numFmtId="0" fontId="0" fillId="0" borderId="18" xfId="0" applyBorder="1" applyAlignment="1">
      <alignment horizontal="center" vertical="center" wrapText="1"/>
    </xf>
    <xf numFmtId="0" fontId="0" fillId="0" borderId="32" xfId="0" applyBorder="1" applyAlignment="1">
      <alignment vertical="center" wrapText="1"/>
    </xf>
    <xf numFmtId="0" fontId="0" fillId="0" borderId="33" xfId="0" applyBorder="1" applyAlignment="1">
      <alignment vertical="center" wrapText="1"/>
    </xf>
    <xf numFmtId="0" fontId="0" fillId="0" borderId="34" xfId="0" applyBorder="1" applyAlignment="1">
      <alignment horizontal="center" vertical="center"/>
    </xf>
    <xf numFmtId="15" fontId="9" fillId="0" borderId="1" xfId="0" applyNumberFormat="1" applyFont="1" applyBorder="1" applyAlignment="1">
      <alignment horizontal="left"/>
    </xf>
    <xf numFmtId="0" fontId="0" fillId="0" borderId="1" xfId="0" applyBorder="1" applyAlignment="1">
      <alignment vertical="center"/>
    </xf>
    <xf numFmtId="0" fontId="0" fillId="0" borderId="1" xfId="0" applyBorder="1" applyAlignment="1">
      <alignment vertical="center" wrapText="1"/>
    </xf>
    <xf numFmtId="15" fontId="0" fillId="0" borderId="1" xfId="0" applyNumberFormat="1" applyBorder="1" applyAlignment="1">
      <alignment vertical="center"/>
    </xf>
    <xf numFmtId="0" fontId="0" fillId="0" borderId="1" xfId="0" quotePrefix="1" applyBorder="1" applyAlignment="1">
      <alignment vertical="center"/>
    </xf>
    <xf numFmtId="0" fontId="0" fillId="0" borderId="1" xfId="0" applyBorder="1" applyAlignment="1">
      <alignment wrapText="1"/>
    </xf>
    <xf numFmtId="0" fontId="0" fillId="0" borderId="1" xfId="0" quotePrefix="1" applyBorder="1" applyAlignment="1">
      <alignment horizontal="center" vertical="center"/>
    </xf>
    <xf numFmtId="20"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15" fillId="2" borderId="1" xfId="0" applyFont="1" applyFill="1" applyBorder="1" applyAlignment="1">
      <alignment horizontal="center" vertical="center" wrapText="1"/>
    </xf>
    <xf numFmtId="0" fontId="9" fillId="0" borderId="1" xfId="0" applyFont="1" applyBorder="1" applyAlignment="1">
      <alignment horizontal="left"/>
    </xf>
    <xf numFmtId="0" fontId="0" fillId="7" borderId="1" xfId="0" applyFill="1" applyBorder="1" applyAlignment="1">
      <alignment horizontal="center" vertical="center"/>
    </xf>
    <xf numFmtId="15" fontId="9" fillId="0" borderId="1" xfId="0" applyNumberFormat="1" applyFont="1" applyBorder="1"/>
    <xf numFmtId="14" fontId="9" fillId="0" borderId="1" xfId="0" applyNumberFormat="1" applyFont="1" applyBorder="1" applyAlignment="1">
      <alignment vertical="center" wrapText="1"/>
    </xf>
    <xf numFmtId="0" fontId="16" fillId="3" borderId="2" xfId="0" applyFont="1" applyFill="1" applyBorder="1" applyAlignment="1">
      <alignment horizontal="left" vertical="center"/>
    </xf>
    <xf numFmtId="0" fontId="9" fillId="2" borderId="18" xfId="0" applyFont="1" applyFill="1" applyBorder="1" applyAlignment="1">
      <alignment horizontal="left" vertical="center"/>
    </xf>
    <xf numFmtId="0" fontId="9" fillId="0" borderId="18" xfId="0" applyFont="1" applyBorder="1" applyAlignment="1">
      <alignment horizontal="left" vertical="center"/>
    </xf>
    <xf numFmtId="0" fontId="18" fillId="0" borderId="18" xfId="0" applyFont="1" applyBorder="1" applyAlignment="1">
      <alignment horizontal="left" vertical="center"/>
    </xf>
    <xf numFmtId="0" fontId="14" fillId="0" borderId="1" xfId="0" applyFont="1" applyBorder="1" applyAlignment="1">
      <alignment horizontal="left" vertical="center"/>
    </xf>
    <xf numFmtId="0" fontId="14" fillId="4" borderId="18" xfId="0" applyFont="1" applyFill="1" applyBorder="1" applyAlignment="1">
      <alignment horizontal="left" vertical="center"/>
    </xf>
    <xf numFmtId="0" fontId="14" fillId="0" borderId="18" xfId="0" applyFont="1" applyBorder="1" applyAlignment="1">
      <alignment horizontal="left" vertical="center"/>
    </xf>
    <xf numFmtId="0" fontId="0" fillId="0" borderId="0" xfId="0" applyAlignment="1">
      <alignment horizontal="left" vertical="center"/>
    </xf>
    <xf numFmtId="0" fontId="14" fillId="0" borderId="1" xfId="0" applyFont="1" applyBorder="1" applyAlignment="1">
      <alignment horizontal="left" vertical="center" wrapText="1"/>
    </xf>
    <xf numFmtId="0" fontId="9" fillId="0" borderId="30" xfId="0" applyFont="1" applyBorder="1" applyAlignment="1">
      <alignment horizontal="left" vertical="center" wrapText="1"/>
    </xf>
    <xf numFmtId="0" fontId="14" fillId="4" borderId="1" xfId="0" applyFont="1" applyFill="1" applyBorder="1" applyAlignment="1">
      <alignment horizontal="left"/>
    </xf>
    <xf numFmtId="0" fontId="0" fillId="0" borderId="1" xfId="0" applyBorder="1" applyAlignment="1">
      <alignment horizontal="left"/>
    </xf>
    <xf numFmtId="0" fontId="14" fillId="4" borderId="1" xfId="0" applyFont="1" applyFill="1" applyBorder="1" applyAlignment="1">
      <alignment horizontal="left" vertical="center"/>
    </xf>
    <xf numFmtId="0" fontId="9" fillId="0" borderId="0" xfId="0" applyFont="1" applyAlignment="1">
      <alignment horizontal="left" vertical="center"/>
    </xf>
    <xf numFmtId="15" fontId="9" fillId="0" borderId="1" xfId="0" applyNumberFormat="1" applyFont="1" applyBorder="1" applyAlignment="1">
      <alignment horizontal="left" vertical="center" wrapText="1"/>
    </xf>
    <xf numFmtId="0" fontId="14" fillId="2" borderId="1" xfId="0" applyFont="1" applyFill="1" applyBorder="1" applyAlignment="1">
      <alignment horizontal="left" vertical="center"/>
    </xf>
    <xf numFmtId="14" fontId="9" fillId="0" borderId="1" xfId="0" applyNumberFormat="1" applyFont="1" applyBorder="1" applyAlignment="1">
      <alignment horizontal="left"/>
    </xf>
    <xf numFmtId="0" fontId="14" fillId="0" borderId="1" xfId="0" applyFont="1" applyBorder="1" applyAlignment="1">
      <alignment horizontal="left"/>
    </xf>
    <xf numFmtId="0" fontId="9" fillId="0" borderId="1" xfId="0" quotePrefix="1" applyFont="1" applyBorder="1" applyAlignment="1">
      <alignment horizontal="left"/>
    </xf>
    <xf numFmtId="0" fontId="5" fillId="0" borderId="0" xfId="0" applyFont="1" applyAlignment="1">
      <alignment horizontal="left"/>
    </xf>
    <xf numFmtId="16" fontId="9" fillId="0" borderId="1" xfId="0" quotePrefix="1" applyNumberFormat="1" applyFont="1" applyBorder="1" applyAlignment="1">
      <alignment horizontal="left" vertical="center" wrapText="1"/>
    </xf>
    <xf numFmtId="0" fontId="9" fillId="0" borderId="30" xfId="0" applyFont="1" applyBorder="1" applyAlignment="1">
      <alignment horizontal="left"/>
    </xf>
    <xf numFmtId="0" fontId="21" fillId="0" borderId="1" xfId="0" applyFont="1" applyBorder="1" applyAlignment="1">
      <alignment horizontal="justify" vertical="center" wrapText="1"/>
    </xf>
    <xf numFmtId="0" fontId="9" fillId="0" borderId="30" xfId="0" applyFont="1" applyBorder="1" applyAlignment="1">
      <alignment horizontal="center"/>
    </xf>
    <xf numFmtId="0" fontId="9" fillId="0" borderId="35" xfId="0" applyFont="1" applyBorder="1" applyAlignment="1">
      <alignment horizontal="left" vertical="center" wrapText="1"/>
    </xf>
    <xf numFmtId="0" fontId="9" fillId="0" borderId="37" xfId="0" applyFont="1" applyBorder="1" applyAlignment="1">
      <alignment horizontal="left"/>
    </xf>
    <xf numFmtId="0" fontId="9" fillId="0" borderId="34" xfId="0" applyFont="1" applyBorder="1" applyAlignment="1">
      <alignment horizontal="left"/>
    </xf>
    <xf numFmtId="0" fontId="21" fillId="0" borderId="30" xfId="0" applyFont="1" applyBorder="1" applyAlignment="1">
      <alignment vertical="center" wrapText="1"/>
    </xf>
    <xf numFmtId="0" fontId="21" fillId="0" borderId="26" xfId="0" applyFont="1" applyBorder="1" applyAlignment="1">
      <alignment vertical="center" wrapText="1"/>
    </xf>
    <xf numFmtId="0" fontId="21" fillId="0" borderId="38" xfId="0" applyFont="1" applyBorder="1" applyAlignment="1">
      <alignment horizontal="justify" vertical="center" wrapText="1"/>
    </xf>
    <xf numFmtId="0" fontId="9" fillId="0" borderId="37" xfId="0" applyFont="1" applyBorder="1" applyAlignment="1">
      <alignment horizontal="center"/>
    </xf>
    <xf numFmtId="0" fontId="21" fillId="0" borderId="39" xfId="0" applyFont="1" applyBorder="1" applyAlignment="1">
      <alignment horizontal="justify" vertical="center" wrapText="1"/>
    </xf>
    <xf numFmtId="0" fontId="21" fillId="0" borderId="39" xfId="0" applyFont="1" applyBorder="1" applyAlignment="1">
      <alignment vertical="center" wrapText="1"/>
    </xf>
    <xf numFmtId="0" fontId="13" fillId="0" borderId="39" xfId="0" applyFont="1" applyBorder="1" applyAlignment="1">
      <alignment horizontal="justify" vertical="center" wrapText="1"/>
    </xf>
    <xf numFmtId="0" fontId="21" fillId="0" borderId="36" xfId="0" applyFont="1" applyBorder="1" applyAlignment="1">
      <alignment horizontal="justify" vertical="center" wrapText="1"/>
    </xf>
    <xf numFmtId="0" fontId="21" fillId="0" borderId="1" xfId="0" applyFont="1" applyBorder="1" applyAlignment="1">
      <alignment horizontal="center" vertical="center" wrapText="1"/>
    </xf>
    <xf numFmtId="0" fontId="9" fillId="0" borderId="30" xfId="0" applyFont="1" applyBorder="1" applyAlignment="1">
      <alignment horizontal="center" vertical="center"/>
    </xf>
    <xf numFmtId="0" fontId="21" fillId="0" borderId="38" xfId="0" applyFont="1" applyBorder="1" applyAlignment="1">
      <alignment vertical="center" wrapText="1"/>
    </xf>
    <xf numFmtId="0" fontId="21" fillId="0" borderId="1" xfId="0" applyFont="1" applyBorder="1" applyAlignment="1">
      <alignment vertical="center" wrapText="1"/>
    </xf>
    <xf numFmtId="0" fontId="9" fillId="0" borderId="30" xfId="0" applyFont="1" applyBorder="1" applyAlignment="1">
      <alignment horizontal="left" wrapText="1"/>
    </xf>
    <xf numFmtId="0" fontId="13" fillId="0" borderId="1" xfId="0" applyFont="1" applyBorder="1" applyAlignment="1">
      <alignment horizontal="left"/>
    </xf>
    <xf numFmtId="0" fontId="4" fillId="0" borderId="1" xfId="0" applyFont="1" applyBorder="1" applyAlignment="1">
      <alignment horizontal="left"/>
    </xf>
    <xf numFmtId="0" fontId="15" fillId="0" borderId="1" xfId="0" applyFont="1" applyBorder="1" applyAlignment="1">
      <alignment horizontal="left"/>
    </xf>
    <xf numFmtId="0" fontId="13" fillId="0" borderId="1" xfId="0" applyFont="1" applyBorder="1" applyAlignment="1">
      <alignment horizontal="left" wrapText="1"/>
    </xf>
    <xf numFmtId="0" fontId="4" fillId="0" borderId="1" xfId="0" applyFont="1" applyBorder="1" applyAlignment="1">
      <alignment horizontal="left" wrapText="1"/>
    </xf>
    <xf numFmtId="14" fontId="9" fillId="0" borderId="1" xfId="0" applyNumberFormat="1" applyFont="1" applyBorder="1" applyAlignment="1">
      <alignment horizontal="center" wrapText="1"/>
    </xf>
    <xf numFmtId="14" fontId="9" fillId="0" borderId="1" xfId="0" applyNumberFormat="1" applyFont="1" applyBorder="1" applyAlignment="1">
      <alignment horizontal="center" vertical="center" wrapText="1"/>
    </xf>
    <xf numFmtId="20" fontId="0" fillId="0" borderId="1" xfId="0" quotePrefix="1" applyNumberFormat="1" applyBorder="1" applyAlignment="1">
      <alignment horizontal="center" vertical="center" wrapText="1"/>
    </xf>
    <xf numFmtId="0" fontId="15" fillId="0" borderId="18" xfId="0" applyFont="1" applyBorder="1" applyAlignment="1">
      <alignment horizontal="center" vertical="center" wrapText="1"/>
    </xf>
    <xf numFmtId="0" fontId="14" fillId="4" borderId="1" xfId="0" applyFont="1" applyFill="1" applyBorder="1" applyAlignment="1">
      <alignment horizontal="left" wrapText="1"/>
    </xf>
    <xf numFmtId="0" fontId="13" fillId="9" borderId="1" xfId="0" applyFont="1" applyFill="1" applyBorder="1" applyAlignment="1">
      <alignment horizontal="left" wrapText="1"/>
    </xf>
    <xf numFmtId="0" fontId="14" fillId="10" borderId="18" xfId="0" applyFont="1" applyFill="1" applyBorder="1" applyAlignment="1">
      <alignment horizontal="left" vertical="center"/>
    </xf>
    <xf numFmtId="0" fontId="9" fillId="10"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4" fillId="0" borderId="1" xfId="0" applyFont="1" applyBorder="1" applyAlignment="1">
      <alignment horizontal="center" vertical="center" wrapText="1"/>
    </xf>
    <xf numFmtId="0" fontId="14" fillId="2"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0" borderId="1" xfId="0" applyFont="1" applyBorder="1" applyAlignment="1">
      <alignment horizontal="left" wrapText="1"/>
    </xf>
    <xf numFmtId="0" fontId="14" fillId="0" borderId="1" xfId="0" applyFont="1" applyBorder="1" applyAlignment="1">
      <alignment horizontal="left" wrapText="1"/>
    </xf>
    <xf numFmtId="0" fontId="15" fillId="4" borderId="1" xfId="0" applyFont="1" applyFill="1" applyBorder="1" applyAlignment="1">
      <alignment horizontal="left"/>
    </xf>
    <xf numFmtId="15" fontId="9" fillId="0" borderId="1" xfId="0" applyNumberFormat="1" applyFont="1" applyBorder="1" applyAlignment="1">
      <alignment horizontal="center" vertical="center" wrapText="1"/>
    </xf>
    <xf numFmtId="0" fontId="15" fillId="10" borderId="1" xfId="0" applyFont="1" applyFill="1" applyBorder="1" applyAlignment="1">
      <alignment horizontal="left"/>
    </xf>
    <xf numFmtId="0" fontId="13" fillId="10" borderId="1" xfId="0" applyFont="1" applyFill="1" applyBorder="1" applyAlignment="1">
      <alignment horizontal="left" wrapText="1"/>
    </xf>
    <xf numFmtId="0" fontId="9" fillId="10" borderId="1" xfId="0" applyFont="1" applyFill="1" applyBorder="1" applyAlignment="1">
      <alignment horizontal="center" vertical="center" wrapText="1"/>
    </xf>
    <xf numFmtId="0" fontId="9" fillId="0" borderId="35" xfId="0" applyFont="1" applyBorder="1" applyAlignment="1">
      <alignment horizontal="left" wrapText="1"/>
    </xf>
    <xf numFmtId="0" fontId="13" fillId="0" borderId="0" xfId="0" applyFont="1" applyAlignment="1">
      <alignment horizontal="justify" vertical="center"/>
    </xf>
    <xf numFmtId="15" fontId="0" fillId="0" borderId="1" xfId="0" applyNumberFormat="1" applyBorder="1" applyAlignment="1">
      <alignment horizontal="center" vertical="center" wrapText="1"/>
    </xf>
    <xf numFmtId="0" fontId="9" fillId="10" borderId="1" xfId="0" applyFont="1" applyFill="1" applyBorder="1" applyAlignment="1">
      <alignment horizontal="left"/>
    </xf>
    <xf numFmtId="0" fontId="0" fillId="0" borderId="1" xfId="0" applyBorder="1" applyAlignment="1">
      <alignment horizontal="left" wrapText="1"/>
    </xf>
    <xf numFmtId="14" fontId="9" fillId="0" borderId="18" xfId="0" applyNumberFormat="1" applyFont="1" applyBorder="1" applyAlignment="1">
      <alignment horizontal="left" vertical="center" wrapText="1"/>
    </xf>
    <xf numFmtId="14" fontId="9" fillId="0" borderId="1" xfId="0" applyNumberFormat="1" applyFont="1" applyBorder="1" applyAlignment="1">
      <alignment horizontal="left" wrapText="1"/>
    </xf>
    <xf numFmtId="14" fontId="9" fillId="0" borderId="1" xfId="0" quotePrefix="1" applyNumberFormat="1" applyFont="1" applyBorder="1" applyAlignment="1">
      <alignment horizontal="left"/>
    </xf>
    <xf numFmtId="14" fontId="9" fillId="0" borderId="30" xfId="0" applyNumberFormat="1" applyFont="1" applyBorder="1" applyAlignment="1">
      <alignment horizontal="left"/>
    </xf>
    <xf numFmtId="14" fontId="9" fillId="0" borderId="1" xfId="0" applyNumberFormat="1" applyFont="1" applyBorder="1" applyAlignment="1">
      <alignment horizontal="left" vertical="center"/>
    </xf>
    <xf numFmtId="14" fontId="9" fillId="0" borderId="1" xfId="0" applyNumberFormat="1" applyFont="1" applyBorder="1" applyAlignment="1">
      <alignment horizontal="left" vertical="center" wrapText="1"/>
    </xf>
    <xf numFmtId="14" fontId="9" fillId="0" borderId="35" xfId="0" applyNumberFormat="1" applyFont="1" applyBorder="1" applyAlignment="1">
      <alignment horizontal="left"/>
    </xf>
    <xf numFmtId="0" fontId="9" fillId="9" borderId="1" xfId="0" applyFont="1" applyFill="1" applyBorder="1" applyAlignment="1">
      <alignment horizontal="center" wrapText="1"/>
    </xf>
    <xf numFmtId="0" fontId="15" fillId="9" borderId="1" xfId="0" applyFont="1" applyFill="1" applyBorder="1" applyAlignment="1">
      <alignment horizontal="left"/>
    </xf>
    <xf numFmtId="0" fontId="14" fillId="10" borderId="1" xfId="0" applyFont="1" applyFill="1" applyBorder="1" applyAlignment="1">
      <alignment horizontal="left"/>
    </xf>
    <xf numFmtId="0" fontId="9" fillId="9" borderId="1" xfId="0" applyFont="1" applyFill="1" applyBorder="1" applyAlignment="1">
      <alignment horizontal="center" vertical="center" wrapText="1"/>
    </xf>
    <xf numFmtId="14" fontId="13" fillId="0" borderId="1" xfId="0" applyNumberFormat="1" applyFont="1" applyBorder="1" applyAlignment="1">
      <alignment horizontal="left" wrapText="1"/>
    </xf>
    <xf numFmtId="0" fontId="13" fillId="0" borderId="1" xfId="0" applyFont="1" applyBorder="1" applyAlignment="1">
      <alignment horizontal="left" vertical="top" wrapText="1"/>
    </xf>
    <xf numFmtId="0" fontId="9" fillId="2" borderId="30" xfId="0" applyFont="1" applyFill="1" applyBorder="1" applyAlignment="1">
      <alignment horizontal="center" vertical="center"/>
    </xf>
    <xf numFmtId="0" fontId="0" fillId="0" borderId="17" xfId="0" applyBorder="1" applyAlignment="1">
      <alignment horizontal="left"/>
    </xf>
    <xf numFmtId="0" fontId="13" fillId="0" borderId="1" xfId="0" applyFont="1" applyBorder="1" applyAlignment="1">
      <alignment wrapText="1"/>
    </xf>
    <xf numFmtId="0" fontId="13" fillId="0" borderId="34" xfId="0" applyFont="1" applyBorder="1" applyAlignment="1">
      <alignment wrapText="1"/>
    </xf>
    <xf numFmtId="0" fontId="13" fillId="0" borderId="0" xfId="0" applyFont="1" applyAlignment="1">
      <alignment wrapText="1"/>
    </xf>
    <xf numFmtId="14" fontId="4" fillId="0" borderId="1" xfId="0" applyNumberFormat="1" applyFont="1" applyBorder="1" applyAlignment="1">
      <alignment wrapText="1"/>
    </xf>
    <xf numFmtId="0" fontId="9" fillId="0" borderId="18" xfId="0" applyFont="1" applyBorder="1" applyAlignment="1">
      <alignment horizontal="left" vertical="top"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9" fillId="0" borderId="1" xfId="0" applyFont="1" applyBorder="1" applyAlignment="1">
      <alignment horizontal="left" vertical="top"/>
    </xf>
    <xf numFmtId="0" fontId="21" fillId="0" borderId="30" xfId="0" applyFont="1" applyBorder="1" applyAlignment="1">
      <alignment vertical="top" wrapText="1"/>
    </xf>
    <xf numFmtId="0" fontId="21" fillId="0" borderId="1" xfId="0" applyFont="1" applyBorder="1" applyAlignment="1">
      <alignment vertical="top" wrapText="1"/>
    </xf>
    <xf numFmtId="0" fontId="21" fillId="0" borderId="1" xfId="0" applyFont="1" applyBorder="1" applyAlignment="1">
      <alignment horizontal="justify" vertical="top" wrapText="1"/>
    </xf>
    <xf numFmtId="0" fontId="21" fillId="0" borderId="26" xfId="0" applyFont="1" applyBorder="1" applyAlignment="1">
      <alignment vertical="top" wrapText="1"/>
    </xf>
    <xf numFmtId="0" fontId="21" fillId="0" borderId="38" xfId="0" applyFont="1" applyBorder="1" applyAlignment="1">
      <alignment vertical="top" wrapText="1"/>
    </xf>
    <xf numFmtId="0" fontId="21" fillId="0" borderId="38" xfId="0" applyFont="1" applyBorder="1" applyAlignment="1">
      <alignment horizontal="justify" vertical="top" wrapText="1"/>
    </xf>
    <xf numFmtId="0" fontId="21" fillId="0" borderId="39" xfId="0" applyFont="1" applyBorder="1" applyAlignment="1">
      <alignment horizontal="justify" vertical="top" wrapText="1"/>
    </xf>
    <xf numFmtId="0" fontId="21" fillId="0" borderId="39" xfId="0" applyFont="1" applyBorder="1" applyAlignment="1">
      <alignment vertical="top" wrapText="1"/>
    </xf>
    <xf numFmtId="0" fontId="13" fillId="0" borderId="39" xfId="0" applyFont="1" applyBorder="1" applyAlignment="1">
      <alignment horizontal="justify" vertical="top" wrapText="1"/>
    </xf>
    <xf numFmtId="0" fontId="21" fillId="0" borderId="36" xfId="0" applyFont="1" applyBorder="1" applyAlignment="1">
      <alignment horizontal="justify" vertical="top" wrapText="1"/>
    </xf>
    <xf numFmtId="0" fontId="13" fillId="0" borderId="1" xfId="0" applyFont="1" applyBorder="1" applyAlignment="1">
      <alignment horizontal="left" vertical="top"/>
    </xf>
    <xf numFmtId="0" fontId="0" fillId="0" borderId="0" xfId="0" applyAlignment="1">
      <alignment vertical="top" wrapText="1"/>
    </xf>
    <xf numFmtId="0" fontId="23" fillId="0" borderId="1" xfId="0" applyFont="1" applyBorder="1" applyAlignment="1">
      <alignment horizontal="left" vertical="top" wrapText="1"/>
    </xf>
    <xf numFmtId="0" fontId="21" fillId="0" borderId="29" xfId="0" applyFont="1" applyBorder="1" applyAlignment="1">
      <alignment horizontal="justify" vertical="top" wrapText="1"/>
    </xf>
    <xf numFmtId="0" fontId="14" fillId="0" borderId="1" xfId="0" applyFont="1" applyBorder="1" applyAlignment="1">
      <alignment horizontal="center" wrapText="1"/>
    </xf>
    <xf numFmtId="0" fontId="15" fillId="4" borderId="1" xfId="0" applyFont="1" applyFill="1" applyBorder="1" applyAlignment="1">
      <alignment horizontal="left" wrapText="1"/>
    </xf>
    <xf numFmtId="0" fontId="15" fillId="0" borderId="1" xfId="0" applyFont="1" applyBorder="1" applyAlignment="1">
      <alignment wrapText="1"/>
    </xf>
    <xf numFmtId="0" fontId="15" fillId="4" borderId="1" xfId="0" applyFont="1" applyFill="1" applyBorder="1" applyAlignment="1">
      <alignment horizontal="center" vertical="center" wrapText="1"/>
    </xf>
    <xf numFmtId="0" fontId="13" fillId="0" borderId="18" xfId="0" applyFont="1" applyBorder="1" applyAlignment="1">
      <alignment horizontal="center" wrapText="1"/>
    </xf>
    <xf numFmtId="0" fontId="13" fillId="0" borderId="1" xfId="0" applyFont="1" applyBorder="1" applyAlignment="1">
      <alignment horizontal="center" wrapText="1"/>
    </xf>
    <xf numFmtId="0" fontId="9" fillId="0" borderId="32" xfId="0" applyFont="1" applyBorder="1" applyAlignment="1">
      <alignment horizontal="left" wrapText="1"/>
    </xf>
    <xf numFmtId="0" fontId="13" fillId="0" borderId="1" xfId="0" applyFont="1" applyBorder="1" applyAlignment="1">
      <alignment horizontal="justify" vertical="top"/>
    </xf>
    <xf numFmtId="14" fontId="13" fillId="0" borderId="1" xfId="0" applyNumberFormat="1" applyFont="1" applyBorder="1" applyAlignment="1">
      <alignment wrapText="1"/>
    </xf>
    <xf numFmtId="0" fontId="9" fillId="9" borderId="1" xfId="0" applyFont="1" applyFill="1" applyBorder="1" applyAlignment="1">
      <alignment horizontal="left" wrapText="1"/>
    </xf>
    <xf numFmtId="0" fontId="14" fillId="0" borderId="1" xfId="0" applyFont="1" applyBorder="1" applyAlignment="1">
      <alignment wrapText="1"/>
    </xf>
    <xf numFmtId="15" fontId="9" fillId="0" borderId="1" xfId="0" applyNumberFormat="1" applyFont="1" applyBorder="1" applyAlignment="1">
      <alignment wrapText="1"/>
    </xf>
    <xf numFmtId="14" fontId="9" fillId="0" borderId="1" xfId="0" applyNumberFormat="1" applyFont="1" applyBorder="1" applyAlignment="1">
      <alignment wrapText="1"/>
    </xf>
    <xf numFmtId="0" fontId="9" fillId="6" borderId="1" xfId="0" applyFont="1" applyFill="1" applyBorder="1" applyAlignment="1">
      <alignment wrapText="1"/>
    </xf>
    <xf numFmtId="0" fontId="9" fillId="11" borderId="1" xfId="0" applyFont="1" applyFill="1" applyBorder="1" applyAlignment="1">
      <alignment wrapText="1"/>
    </xf>
    <xf numFmtId="0" fontId="9" fillId="6" borderId="1" xfId="0" applyFont="1" applyFill="1" applyBorder="1" applyAlignment="1">
      <alignment horizontal="center" wrapText="1"/>
    </xf>
    <xf numFmtId="0" fontId="9" fillId="11" borderId="1" xfId="0" applyFont="1" applyFill="1" applyBorder="1" applyAlignment="1">
      <alignment horizontal="center" wrapText="1"/>
    </xf>
    <xf numFmtId="0" fontId="9" fillId="0" borderId="34" xfId="0" applyFont="1" applyBorder="1" applyAlignment="1">
      <alignment horizontal="center" vertical="center" wrapText="1"/>
    </xf>
    <xf numFmtId="0" fontId="9" fillId="0" borderId="30" xfId="0" applyFont="1" applyBorder="1" applyAlignment="1">
      <alignment wrapText="1"/>
    </xf>
    <xf numFmtId="0" fontId="22" fillId="8" borderId="1" xfId="0" applyFont="1" applyFill="1" applyBorder="1" applyAlignment="1">
      <alignment vertical="center" wrapText="1"/>
    </xf>
    <xf numFmtId="0" fontId="13" fillId="0" borderId="32" xfId="0" applyFont="1" applyBorder="1" applyAlignment="1">
      <alignment horizontal="left" wrapText="1"/>
    </xf>
    <xf numFmtId="0" fontId="9" fillId="9" borderId="34"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wrapText="1"/>
    </xf>
    <xf numFmtId="0" fontId="13" fillId="0" borderId="1" xfId="0" applyFont="1" applyBorder="1" applyAlignment="1">
      <alignment horizontal="justify" vertical="center"/>
    </xf>
    <xf numFmtId="0" fontId="14" fillId="0" borderId="1" xfId="0" applyFont="1" applyBorder="1"/>
    <xf numFmtId="0" fontId="0" fillId="0" borderId="18" xfId="0" applyBorder="1" applyAlignment="1">
      <alignment horizontal="left" vertical="center"/>
    </xf>
    <xf numFmtId="0" fontId="0" fillId="0" borderId="1" xfId="0" applyBorder="1" applyAlignment="1">
      <alignment horizontal="left" vertical="top" wrapText="1"/>
    </xf>
    <xf numFmtId="0" fontId="15" fillId="10" borderId="1" xfId="0" applyFont="1" applyFill="1" applyBorder="1" applyAlignment="1">
      <alignment horizontal="left" wrapText="1"/>
    </xf>
    <xf numFmtId="0" fontId="14" fillId="9" borderId="1" xfId="0" applyFont="1" applyFill="1" applyBorder="1"/>
    <xf numFmtId="0" fontId="9" fillId="9" borderId="1" xfId="0" applyFont="1" applyFill="1" applyBorder="1" applyAlignment="1">
      <alignment wrapText="1"/>
    </xf>
    <xf numFmtId="14" fontId="9" fillId="0" borderId="1" xfId="0" applyNumberFormat="1" applyFont="1" applyBorder="1"/>
    <xf numFmtId="0" fontId="14" fillId="9" borderId="1" xfId="0" applyFont="1" applyFill="1" applyBorder="1" applyAlignment="1">
      <alignment horizontal="left" wrapText="1"/>
    </xf>
    <xf numFmtId="0" fontId="13" fillId="0" borderId="1" xfId="0" applyFont="1" applyBorder="1" applyAlignment="1">
      <alignment horizontal="center" vertical="top" wrapText="1"/>
    </xf>
    <xf numFmtId="0" fontId="13" fillId="0" borderId="1" xfId="0" applyFont="1" applyBorder="1" applyAlignment="1">
      <alignment vertical="top" wrapText="1"/>
    </xf>
    <xf numFmtId="0" fontId="13" fillId="0" borderId="0" xfId="0" applyFont="1"/>
    <xf numFmtId="0" fontId="14" fillId="2" borderId="1" xfId="0" applyFont="1" applyFill="1" applyBorder="1" applyAlignment="1">
      <alignment horizontal="left"/>
    </xf>
    <xf numFmtId="0" fontId="15" fillId="2" borderId="1" xfId="0" applyFont="1" applyFill="1" applyBorder="1" applyAlignment="1">
      <alignment horizontal="left"/>
    </xf>
    <xf numFmtId="0" fontId="15" fillId="2" borderId="1" xfId="0" applyFont="1" applyFill="1" applyBorder="1" applyAlignment="1">
      <alignment horizontal="left" wrapText="1"/>
    </xf>
    <xf numFmtId="0" fontId="13" fillId="4" borderId="1" xfId="0" applyFont="1" applyFill="1" applyBorder="1" applyAlignment="1">
      <alignment horizontal="left" wrapText="1"/>
    </xf>
    <xf numFmtId="0" fontId="14" fillId="0" borderId="1" xfId="0" applyFont="1" applyBorder="1" applyAlignment="1">
      <alignment horizontal="center"/>
    </xf>
    <xf numFmtId="0" fontId="14" fillId="0" borderId="1" xfId="0" applyFont="1" applyFill="1" applyBorder="1" applyAlignment="1">
      <alignment horizontal="left"/>
    </xf>
    <xf numFmtId="0" fontId="14" fillId="0" borderId="1" xfId="0" applyFont="1" applyFill="1" applyBorder="1" applyAlignment="1">
      <alignment horizontal="center"/>
    </xf>
    <xf numFmtId="0" fontId="14" fillId="0" borderId="1" xfId="0" applyFont="1" applyFill="1" applyBorder="1" applyAlignment="1">
      <alignment horizontal="left" wrapText="1"/>
    </xf>
    <xf numFmtId="0" fontId="15" fillId="0" borderId="1" xfId="0" applyFont="1" applyFill="1" applyBorder="1" applyAlignment="1">
      <alignment horizontal="left"/>
    </xf>
    <xf numFmtId="0" fontId="16" fillId="3" borderId="21"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16" fillId="3" borderId="6" xfId="0" applyFont="1" applyFill="1" applyBorder="1" applyAlignment="1">
      <alignment horizontal="left" vertical="center" wrapText="1"/>
    </xf>
    <xf numFmtId="0" fontId="15" fillId="0" borderId="10"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13" fillId="0" borderId="10" xfId="0" applyFont="1" applyBorder="1" applyAlignment="1">
      <alignment horizontal="left" vertical="center"/>
    </xf>
    <xf numFmtId="0" fontId="13" fillId="0" borderId="12" xfId="0" applyFont="1" applyBorder="1" applyAlignment="1">
      <alignment horizontal="left" vertical="center"/>
    </xf>
    <xf numFmtId="0" fontId="13" fillId="0" borderId="11" xfId="0" applyFont="1" applyBorder="1" applyAlignment="1">
      <alignment horizontal="left" vertical="center"/>
    </xf>
    <xf numFmtId="0" fontId="19"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1" xfId="0" applyFont="1" applyBorder="1" applyAlignment="1">
      <alignment horizontal="center" vertical="center" wrapText="1"/>
    </xf>
    <xf numFmtId="0" fontId="16" fillId="3" borderId="6" xfId="0" applyFont="1" applyFill="1" applyBorder="1" applyAlignment="1">
      <alignment horizontal="left" vertical="center"/>
    </xf>
    <xf numFmtId="0" fontId="16" fillId="3" borderId="7" xfId="0" applyFont="1" applyFill="1" applyBorder="1" applyAlignment="1">
      <alignment horizontal="left" vertical="center"/>
    </xf>
    <xf numFmtId="0" fontId="16" fillId="3" borderId="21" xfId="0" applyFont="1" applyFill="1" applyBorder="1" applyAlignment="1">
      <alignment horizontal="left" vertical="center"/>
    </xf>
    <xf numFmtId="0" fontId="16" fillId="3" borderId="10"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5" fillId="3" borderId="10"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2" xfId="0" applyFont="1" applyFill="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0" fillId="0" borderId="11" xfId="0" applyFont="1" applyBorder="1" applyAlignment="1">
      <alignment horizontal="center" vertical="center"/>
    </xf>
    <xf numFmtId="0" fontId="15" fillId="3" borderId="6"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6" xfId="0" applyFont="1" applyFill="1" applyBorder="1" applyAlignment="1">
      <alignment horizontal="left" vertical="center"/>
    </xf>
    <xf numFmtId="0" fontId="15" fillId="3" borderId="21" xfId="0" applyFont="1" applyFill="1" applyBorder="1" applyAlignment="1">
      <alignment horizontal="left"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1" fillId="0" borderId="10" xfId="0" applyFont="1" applyBorder="1" applyAlignment="1">
      <alignment horizontal="center" vertical="top"/>
    </xf>
    <xf numFmtId="0" fontId="1" fillId="0" borderId="12" xfId="0" applyFont="1" applyBorder="1" applyAlignment="1">
      <alignment horizontal="center" vertical="top"/>
    </xf>
    <xf numFmtId="0" fontId="1" fillId="0" borderId="11" xfId="0" applyFont="1" applyBorder="1" applyAlignment="1">
      <alignment horizontal="center" vertical="top"/>
    </xf>
    <xf numFmtId="0" fontId="15" fillId="3" borderId="4" xfId="0" applyFont="1" applyFill="1" applyBorder="1" applyAlignment="1">
      <alignment horizontal="center" vertical="center"/>
    </xf>
    <xf numFmtId="0" fontId="15" fillId="3" borderId="31" xfId="0" applyFont="1" applyFill="1" applyBorder="1" applyAlignment="1">
      <alignment horizontal="center" vertical="center"/>
    </xf>
    <xf numFmtId="0" fontId="15" fillId="3" borderId="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left" vertical="center" wrapText="1"/>
    </xf>
    <xf numFmtId="0" fontId="15" fillId="3" borderId="21" xfId="0" applyFont="1" applyFill="1" applyBorder="1" applyAlignment="1">
      <alignment horizontal="left" vertical="center" wrapText="1"/>
    </xf>
    <xf numFmtId="0" fontId="9" fillId="0" borderId="4" xfId="0" applyFont="1" applyBorder="1" applyAlignment="1">
      <alignment horizontal="center" vertical="center"/>
    </xf>
    <xf numFmtId="0" fontId="9" fillId="0" borderId="8" xfId="0" applyFont="1" applyBorder="1" applyAlignment="1">
      <alignment horizontal="center" vertical="center"/>
    </xf>
    <xf numFmtId="0" fontId="9" fillId="0" borderId="19" xfId="0" applyFont="1" applyBorder="1" applyAlignment="1">
      <alignment horizontal="center" vertical="center"/>
    </xf>
    <xf numFmtId="0" fontId="9" fillId="0" borderId="5" xfId="0" applyFont="1" applyBorder="1" applyAlignment="1">
      <alignment horizontal="center" vertical="center"/>
    </xf>
    <xf numFmtId="0" fontId="9" fillId="0" borderId="9" xfId="0" applyFont="1" applyBorder="1" applyAlignment="1">
      <alignment horizontal="center" vertical="center"/>
    </xf>
    <xf numFmtId="0" fontId="9" fillId="0" borderId="14" xfId="0" applyFont="1" applyBorder="1" applyAlignment="1">
      <alignment horizontal="center" vertical="center"/>
    </xf>
    <xf numFmtId="0" fontId="15" fillId="3" borderId="6" xfId="0" applyFont="1" applyFill="1" applyBorder="1" applyAlignment="1">
      <alignment horizontal="center" vertical="center"/>
    </xf>
    <xf numFmtId="0" fontId="15" fillId="3" borderId="21" xfId="0" applyFont="1" applyFill="1" applyBorder="1" applyAlignment="1">
      <alignment horizontal="center" vertical="center"/>
    </xf>
    <xf numFmtId="0" fontId="19" fillId="0" borderId="4"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4" xfId="0" applyFont="1" applyBorder="1" applyAlignment="1">
      <alignment horizontal="center" vertical="center" wrapText="1"/>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4" xfId="0" applyFont="1" applyBorder="1" applyAlignment="1">
      <alignment horizontal="center" vertical="center" wrapText="1"/>
    </xf>
    <xf numFmtId="0" fontId="15" fillId="3" borderId="17"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3" borderId="17" xfId="0" applyFont="1" applyFill="1" applyBorder="1" applyAlignment="1">
      <alignment horizontal="center" vertical="center"/>
    </xf>
    <xf numFmtId="0" fontId="15" fillId="3" borderId="23" xfId="0" applyFont="1" applyFill="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19" xfId="0" applyFont="1" applyBorder="1" applyAlignment="1">
      <alignment horizontal="center" vertical="center"/>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20" fillId="0" borderId="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3" xfId="0" applyFont="1" applyBorder="1" applyAlignment="1">
      <alignment horizontal="center" vertical="center" wrapText="1"/>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15" fillId="3" borderId="24"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3" fillId="3" borderId="17" xfId="0" applyFont="1" applyFill="1" applyBorder="1" applyAlignment="1">
      <alignment horizontal="center" vertical="center" wrapText="1"/>
    </xf>
    <xf numFmtId="0" fontId="3" fillId="3" borderId="40" xfId="0" applyFont="1" applyFill="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11" xfId="0" applyFont="1" applyFill="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8" fillId="0" borderId="10"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FFFF99"/>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jpe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2</xdr:col>
      <xdr:colOff>504825</xdr:colOff>
      <xdr:row>0</xdr:row>
      <xdr:rowOff>342900</xdr:rowOff>
    </xdr:from>
    <xdr:to>
      <xdr:col>4</xdr:col>
      <xdr:colOff>344404</xdr:colOff>
      <xdr:row>0</xdr:row>
      <xdr:rowOff>587148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123950" y="342900"/>
          <a:ext cx="1495425" cy="244248"/>
        </a:xfrm>
        <a:prstGeom prst="rect">
          <a:avLst/>
        </a:prstGeom>
      </xdr:spPr>
    </xdr:pic>
    <xdr:clientData/>
  </xdr:twoCellAnchor>
  <xdr:twoCellAnchor editAs="oneCell">
    <xdr:from>
      <xdr:col>1</xdr:col>
      <xdr:colOff>104775</xdr:colOff>
      <xdr:row>0</xdr:row>
      <xdr:rowOff>175460</xdr:rowOff>
    </xdr:from>
    <xdr:to>
      <xdr:col>2</xdr:col>
      <xdr:colOff>409575</xdr:colOff>
      <xdr:row>0</xdr:row>
      <xdr:rowOff>823160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367966" y="175460"/>
          <a:ext cx="668254"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166064</xdr:colOff>
      <xdr:row>0</xdr:row>
      <xdr:rowOff>72791</xdr:rowOff>
    </xdr:from>
    <xdr:to>
      <xdr:col>3</xdr:col>
      <xdr:colOff>158750</xdr:colOff>
      <xdr:row>0</xdr:row>
      <xdr:rowOff>1148194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171" y="72791"/>
          <a:ext cx="1115275" cy="1075403"/>
        </a:xfrm>
        <a:prstGeom prst="rect">
          <a:avLst/>
        </a:prstGeom>
      </xdr:spPr>
    </xdr:pic>
    <xdr:clientData/>
  </xdr:twoCellAnchor>
  <xdr:twoCellAnchor editAs="oneCell">
    <xdr:from>
      <xdr:col>3</xdr:col>
      <xdr:colOff>364321</xdr:colOff>
      <xdr:row>0</xdr:row>
      <xdr:rowOff>589277</xdr:rowOff>
    </xdr:from>
    <xdr:to>
      <xdr:col>5</xdr:col>
      <xdr:colOff>699554</xdr:colOff>
      <xdr:row>0</xdr:row>
      <xdr:rowOff>905037</xdr:rowOff>
    </xdr:to>
    <xdr:pic>
      <xdr:nvPicPr>
        <xdr:cNvPr id="3" name="Picture 2" descr="Sita Air Text">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45660" y="589277"/>
          <a:ext cx="2027623" cy="3157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200491</xdr:colOff>
      <xdr:row>0</xdr:row>
      <xdr:rowOff>11206</xdr:rowOff>
    </xdr:from>
    <xdr:to>
      <xdr:col>2</xdr:col>
      <xdr:colOff>581850</xdr:colOff>
      <xdr:row>1</xdr:row>
      <xdr:rowOff>68355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97" y="11206"/>
          <a:ext cx="861110" cy="841561"/>
        </a:xfrm>
        <a:prstGeom prst="rect">
          <a:avLst/>
        </a:prstGeom>
      </xdr:spPr>
    </xdr:pic>
    <xdr:clientData/>
  </xdr:twoCellAnchor>
  <xdr:twoCellAnchor editAs="oneCell">
    <xdr:from>
      <xdr:col>3</xdr:col>
      <xdr:colOff>387281</xdr:colOff>
      <xdr:row>0</xdr:row>
      <xdr:rowOff>486833</xdr:rowOff>
    </xdr:from>
    <xdr:to>
      <xdr:col>5</xdr:col>
      <xdr:colOff>290776</xdr:colOff>
      <xdr:row>0</xdr:row>
      <xdr:rowOff>490296</xdr:rowOff>
    </xdr:to>
    <xdr:pic>
      <xdr:nvPicPr>
        <xdr:cNvPr id="3" name="Picture 2" descr="Sita Air Text">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2681" y="486833"/>
          <a:ext cx="1829927" cy="310862"/>
        </a:xfrm>
        <a:prstGeom prst="rect">
          <a:avLst/>
        </a:prstGeom>
        <a:noFill/>
        <a:ln>
          <a:noFill/>
        </a:ln>
      </xdr:spPr>
    </xdr:pic>
    <xdr:clientData/>
  </xdr:twoCellAnchor>
  <xdr:twoCellAnchor editAs="oneCell">
    <xdr:from>
      <xdr:col>3</xdr:col>
      <xdr:colOff>295275</xdr:colOff>
      <xdr:row>0</xdr:row>
      <xdr:rowOff>323850</xdr:rowOff>
    </xdr:from>
    <xdr:to>
      <xdr:col>5</xdr:col>
      <xdr:colOff>616743</xdr:colOff>
      <xdr:row>0</xdr:row>
      <xdr:rowOff>634773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1485900" y="323850"/>
          <a:ext cx="1857375" cy="3109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336458</xdr:colOff>
      <xdr:row>0</xdr:row>
      <xdr:rowOff>201083</xdr:rowOff>
    </xdr:from>
    <xdr:to>
      <xdr:col>3</xdr:col>
      <xdr:colOff>13883</xdr:colOff>
      <xdr:row>1</xdr:row>
      <xdr:rowOff>250626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291" y="201083"/>
          <a:ext cx="859460" cy="853876"/>
        </a:xfrm>
        <a:prstGeom prst="rect">
          <a:avLst/>
        </a:prstGeom>
      </xdr:spPr>
    </xdr:pic>
    <xdr:clientData/>
  </xdr:twoCellAnchor>
  <xdr:twoCellAnchor editAs="oneCell">
    <xdr:from>
      <xdr:col>3</xdr:col>
      <xdr:colOff>217948</xdr:colOff>
      <xdr:row>0</xdr:row>
      <xdr:rowOff>491837</xdr:rowOff>
    </xdr:from>
    <xdr:to>
      <xdr:col>5</xdr:col>
      <xdr:colOff>446101</xdr:colOff>
      <xdr:row>0</xdr:row>
      <xdr:rowOff>787112</xdr:rowOff>
    </xdr:to>
    <xdr:pic>
      <xdr:nvPicPr>
        <xdr:cNvPr id="3" name="Picture 2" descr="Sita Air Text">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0281" y="491837"/>
          <a:ext cx="1969592" cy="2952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404813</xdr:colOff>
      <xdr:row>0</xdr:row>
      <xdr:rowOff>0</xdr:rowOff>
    </xdr:from>
    <xdr:to>
      <xdr:col>3</xdr:col>
      <xdr:colOff>312731</xdr:colOff>
      <xdr:row>0</xdr:row>
      <xdr:rowOff>416719</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782" y="0"/>
          <a:ext cx="741355" cy="416719"/>
        </a:xfrm>
        <a:prstGeom prst="rect">
          <a:avLst/>
        </a:prstGeom>
      </xdr:spPr>
    </xdr:pic>
    <xdr:clientData/>
  </xdr:twoCellAnchor>
  <xdr:twoCellAnchor editAs="oneCell">
    <xdr:from>
      <xdr:col>2</xdr:col>
      <xdr:colOff>581024</xdr:colOff>
      <xdr:row>0</xdr:row>
      <xdr:rowOff>771525</xdr:rowOff>
    </xdr:from>
    <xdr:to>
      <xdr:col>3</xdr:col>
      <xdr:colOff>390525</xdr:colOff>
      <xdr:row>1</xdr:row>
      <xdr:rowOff>858</xdr:rowOff>
    </xdr:to>
    <xdr:pic>
      <xdr:nvPicPr>
        <xdr:cNvPr id="11" name="Picture 10" descr="Sita Air Text">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4" y="771525"/>
          <a:ext cx="1276351" cy="238125"/>
        </a:xfrm>
        <a:prstGeom prst="rect">
          <a:avLst/>
        </a:prstGeom>
        <a:noFill/>
        <a:ln>
          <a:noFill/>
        </a:ln>
      </xdr:spPr>
    </xdr:pic>
    <xdr:clientData/>
  </xdr:twoCellAnchor>
  <xdr:oneCellAnchor>
    <xdr:from>
      <xdr:col>8</xdr:col>
      <xdr:colOff>675502</xdr:colOff>
      <xdr:row>39</xdr:row>
      <xdr:rowOff>36212</xdr:rowOff>
    </xdr:from>
    <xdr:ext cx="914400" cy="436786"/>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635367" y="26028307"/>
          <a:ext cx="9144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sz="1100"/>
        </a:p>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2</xdr:col>
      <xdr:colOff>752477</xdr:colOff>
      <xdr:row>0</xdr:row>
      <xdr:rowOff>371475</xdr:rowOff>
    </xdr:from>
    <xdr:to>
      <xdr:col>3</xdr:col>
      <xdr:colOff>1266826</xdr:colOff>
      <xdr:row>0</xdr:row>
      <xdr:rowOff>704850</xdr:rowOff>
    </xdr:to>
    <xdr:pic>
      <xdr:nvPicPr>
        <xdr:cNvPr id="3" name="Picture 2" descr="Sita Air Text">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371475"/>
          <a:ext cx="1571624" cy="333375"/>
        </a:xfrm>
        <a:prstGeom prst="rect">
          <a:avLst/>
        </a:prstGeom>
        <a:noFill/>
        <a:ln>
          <a:noFill/>
        </a:ln>
      </xdr:spPr>
    </xdr:pic>
    <xdr:clientData/>
  </xdr:twoCellAnchor>
  <xdr:twoCellAnchor editAs="oneCell">
    <xdr:from>
      <xdr:col>1</xdr:col>
      <xdr:colOff>333375</xdr:colOff>
      <xdr:row>0</xdr:row>
      <xdr:rowOff>123825</xdr:rowOff>
    </xdr:from>
    <xdr:to>
      <xdr:col>2</xdr:col>
      <xdr:colOff>333589</xdr:colOff>
      <xdr:row>0</xdr:row>
      <xdr:rowOff>876300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5775" y="123825"/>
          <a:ext cx="7905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AppData/Roaming/Microsoft/Downloads/Occurrence-Hazard-risk-Registry-sheet-2023-new-working.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B1:N284"/>
  <sheetViews>
    <sheetView topLeftCell="B290" zoomScale="85" zoomScaleNormal="85" workbookViewId="0">
      <selection activeCell="L2" sqref="L2:L6"/>
    </sheetView>
  </sheetViews>
  <sheetFormatPr defaultRowHeight="15" x14ac:dyDescent="0.25"/>
  <cols>
    <col min="1" max="1" width="3.85546875" style="9" customWidth="1"/>
    <col min="2" max="2" width="5.42578125" style="9" customWidth="1"/>
    <col min="3" max="4" width="12.42578125" style="9" customWidth="1"/>
    <col min="5" max="5" width="18.5703125" style="9" customWidth="1"/>
    <col min="6" max="6" width="55.140625" style="9" customWidth="1"/>
    <col min="7" max="7" width="12.28515625" style="9" customWidth="1"/>
    <col min="8" max="8" width="9.28515625" style="9" customWidth="1"/>
    <col min="9" max="9" width="11.85546875" style="9" customWidth="1"/>
    <col min="10" max="10" width="11.140625" style="9" customWidth="1"/>
    <col min="11" max="11" width="10.85546875" style="103" customWidth="1"/>
    <col min="12" max="12" width="25.42578125" style="9" customWidth="1"/>
    <col min="13" max="13" width="12.85546875" style="9" customWidth="1"/>
    <col min="14" max="14" width="22.85546875" style="9" customWidth="1"/>
    <col min="15" max="16384" width="9.140625" style="9"/>
  </cols>
  <sheetData>
    <row r="1" spans="2:14" ht="70.5" customHeight="1" thickBot="1" x14ac:dyDescent="0.3">
      <c r="B1" s="248"/>
      <c r="C1" s="249"/>
      <c r="D1" s="249"/>
      <c r="E1" s="250"/>
      <c r="F1" s="251" t="s">
        <v>0</v>
      </c>
      <c r="G1" s="252"/>
      <c r="H1" s="252"/>
      <c r="I1" s="252"/>
      <c r="J1" s="253"/>
      <c r="K1" s="245" t="s">
        <v>1</v>
      </c>
      <c r="L1" s="246"/>
      <c r="M1" s="247"/>
      <c r="N1" s="168"/>
    </row>
    <row r="2" spans="2:14" ht="20.25" customHeight="1" thickBot="1" x14ac:dyDescent="0.3">
      <c r="B2" s="254" t="s">
        <v>2</v>
      </c>
      <c r="C2" s="244" t="s">
        <v>3</v>
      </c>
      <c r="D2" s="244" t="s">
        <v>4</v>
      </c>
      <c r="E2" s="244" t="s">
        <v>5</v>
      </c>
      <c r="F2" s="254" t="s">
        <v>6</v>
      </c>
      <c r="G2" s="257" t="s">
        <v>7</v>
      </c>
      <c r="H2" s="258"/>
      <c r="I2" s="258"/>
      <c r="J2" s="259"/>
      <c r="K2" s="256" t="s">
        <v>8</v>
      </c>
      <c r="L2" s="242" t="s">
        <v>9</v>
      </c>
      <c r="M2" s="242" t="s">
        <v>10</v>
      </c>
      <c r="N2" s="242" t="s">
        <v>11</v>
      </c>
    </row>
    <row r="3" spans="2:14" ht="36" hidden="1" customHeight="1" thickBot="1" x14ac:dyDescent="0.3">
      <c r="B3" s="255"/>
      <c r="C3" s="243"/>
      <c r="D3" s="243"/>
      <c r="E3" s="243"/>
      <c r="F3" s="255"/>
      <c r="G3" s="15" t="s">
        <v>12</v>
      </c>
      <c r="H3" s="84" t="s">
        <v>13</v>
      </c>
      <c r="I3" s="16" t="s">
        <v>14</v>
      </c>
      <c r="J3" s="16" t="s">
        <v>15</v>
      </c>
      <c r="K3" s="255"/>
      <c r="L3" s="243"/>
      <c r="M3" s="243"/>
      <c r="N3" s="243"/>
    </row>
    <row r="4" spans="2:14" ht="75" hidden="1" x14ac:dyDescent="0.25">
      <c r="B4" s="85">
        <v>1</v>
      </c>
      <c r="C4" s="154">
        <v>45298</v>
      </c>
      <c r="D4" s="154"/>
      <c r="E4" s="14" t="s">
        <v>16</v>
      </c>
      <c r="F4" s="173" t="s">
        <v>17</v>
      </c>
      <c r="G4" s="86"/>
      <c r="H4" s="86" t="s">
        <v>18</v>
      </c>
      <c r="I4" s="86"/>
      <c r="J4" s="87"/>
      <c r="K4" s="88" t="s">
        <v>19</v>
      </c>
      <c r="L4" s="127" t="s">
        <v>20</v>
      </c>
      <c r="M4" s="14"/>
      <c r="N4" s="14"/>
    </row>
    <row r="5" spans="2:14" ht="60" hidden="1" x14ac:dyDescent="0.25">
      <c r="B5" s="85">
        <v>2</v>
      </c>
      <c r="C5" s="158">
        <v>45300</v>
      </c>
      <c r="D5" s="158"/>
      <c r="E5" s="35" t="s">
        <v>16</v>
      </c>
      <c r="F5" s="174" t="s">
        <v>21</v>
      </c>
      <c r="G5" s="35"/>
      <c r="H5" s="35"/>
      <c r="I5" s="17" t="s">
        <v>18</v>
      </c>
      <c r="J5" s="35"/>
      <c r="K5" s="90" t="s">
        <v>22</v>
      </c>
      <c r="L5" s="19" t="s">
        <v>23</v>
      </c>
      <c r="M5" s="14"/>
      <c r="N5" s="14"/>
    </row>
    <row r="6" spans="2:14" ht="60" hidden="1" x14ac:dyDescent="0.25">
      <c r="B6" s="85">
        <v>3</v>
      </c>
      <c r="C6" s="98">
        <v>45302</v>
      </c>
      <c r="D6" s="98">
        <v>45298</v>
      </c>
      <c r="E6" s="35" t="s">
        <v>16</v>
      </c>
      <c r="F6" s="175" t="s">
        <v>24</v>
      </c>
      <c r="G6" s="35"/>
      <c r="H6" s="35" t="s">
        <v>18</v>
      </c>
      <c r="I6" s="35"/>
      <c r="J6" s="35"/>
      <c r="K6" s="135" t="s">
        <v>25</v>
      </c>
      <c r="L6" s="136" t="s">
        <v>26</v>
      </c>
      <c r="M6" s="14"/>
      <c r="N6" s="14"/>
    </row>
    <row r="7" spans="2:14" ht="30" hidden="1" x14ac:dyDescent="0.25">
      <c r="B7" s="85">
        <v>4</v>
      </c>
      <c r="C7" s="158">
        <v>45302</v>
      </c>
      <c r="D7" s="158"/>
      <c r="E7" s="35" t="s">
        <v>27</v>
      </c>
      <c r="F7" s="174" t="s">
        <v>28</v>
      </c>
      <c r="G7" s="35"/>
      <c r="H7" s="35"/>
      <c r="I7" s="35" t="s">
        <v>18</v>
      </c>
      <c r="J7" s="35"/>
      <c r="K7" s="90" t="s">
        <v>29</v>
      </c>
      <c r="L7" s="127" t="s">
        <v>20</v>
      </c>
      <c r="M7" s="14"/>
      <c r="N7" s="14"/>
    </row>
    <row r="8" spans="2:14" ht="30" hidden="1" x14ac:dyDescent="0.25">
      <c r="B8" s="85">
        <v>5</v>
      </c>
      <c r="C8" s="159">
        <v>45305</v>
      </c>
      <c r="D8" s="159"/>
      <c r="E8" s="35" t="s">
        <v>16</v>
      </c>
      <c r="F8" s="174" t="s">
        <v>30</v>
      </c>
      <c r="G8" s="35"/>
      <c r="H8" s="35"/>
      <c r="I8" s="17" t="s">
        <v>18</v>
      </c>
      <c r="J8" s="35"/>
      <c r="K8" s="89" t="s">
        <v>25</v>
      </c>
      <c r="L8" s="19" t="s">
        <v>31</v>
      </c>
      <c r="M8" s="14"/>
      <c r="N8" s="14" t="str">
        <f ca="1">DATEDIF(C8, TODAY(), "m") &amp; " months, " &amp; DATEDIF(C8, TODAY(), "md") &amp; " days"</f>
        <v>18 months, 30 days</v>
      </c>
    </row>
    <row r="9" spans="2:14" s="91" customFormat="1" ht="30" hidden="1" x14ac:dyDescent="0.25">
      <c r="B9" s="85">
        <v>6</v>
      </c>
      <c r="C9" s="158">
        <v>45310</v>
      </c>
      <c r="D9" s="158"/>
      <c r="E9" s="35" t="s">
        <v>16</v>
      </c>
      <c r="F9" s="174" t="s">
        <v>32</v>
      </c>
      <c r="G9" s="35"/>
      <c r="H9" s="35"/>
      <c r="I9" s="35" t="s">
        <v>18</v>
      </c>
      <c r="J9" s="35"/>
      <c r="K9" s="88" t="s">
        <v>19</v>
      </c>
      <c r="L9" s="19" t="s">
        <v>33</v>
      </c>
      <c r="M9" s="14"/>
      <c r="N9" s="14"/>
    </row>
    <row r="10" spans="2:14" s="91" customFormat="1" ht="30" hidden="1" x14ac:dyDescent="0.25">
      <c r="B10" s="85">
        <v>7</v>
      </c>
      <c r="C10" s="159">
        <v>45312</v>
      </c>
      <c r="D10" s="159"/>
      <c r="E10" s="19" t="s">
        <v>34</v>
      </c>
      <c r="F10" s="174" t="s">
        <v>35</v>
      </c>
      <c r="G10" s="19"/>
      <c r="H10" s="19"/>
      <c r="I10" s="19"/>
      <c r="J10" s="19" t="s">
        <v>18</v>
      </c>
      <c r="K10" s="92" t="s">
        <v>29</v>
      </c>
      <c r="L10" s="127" t="s">
        <v>20</v>
      </c>
      <c r="M10" s="14"/>
      <c r="N10" s="14"/>
    </row>
    <row r="11" spans="2:14" s="91" customFormat="1" ht="90" hidden="1" x14ac:dyDescent="0.25">
      <c r="B11" s="85">
        <v>8</v>
      </c>
      <c r="C11" s="159">
        <v>45312</v>
      </c>
      <c r="D11" s="159"/>
      <c r="E11" s="19" t="s">
        <v>16</v>
      </c>
      <c r="F11" s="174" t="s">
        <v>36</v>
      </c>
      <c r="G11" s="19"/>
      <c r="H11" s="19"/>
      <c r="I11" s="19" t="s">
        <v>18</v>
      </c>
      <c r="J11" s="19"/>
      <c r="K11" s="137" t="s">
        <v>25</v>
      </c>
      <c r="L11" s="136" t="s">
        <v>37</v>
      </c>
      <c r="M11" s="14"/>
      <c r="N11" s="14"/>
    </row>
    <row r="12" spans="2:14" s="91" customFormat="1" ht="30" hidden="1" x14ac:dyDescent="0.25">
      <c r="B12" s="85">
        <v>9</v>
      </c>
      <c r="C12" s="159">
        <v>45324</v>
      </c>
      <c r="D12" s="159"/>
      <c r="E12" s="35" t="s">
        <v>16</v>
      </c>
      <c r="F12" s="174" t="s">
        <v>38</v>
      </c>
      <c r="G12" s="35"/>
      <c r="H12" s="35"/>
      <c r="I12" s="19" t="s">
        <v>18</v>
      </c>
      <c r="J12" s="35"/>
      <c r="K12" s="88" t="s">
        <v>19</v>
      </c>
      <c r="L12" s="19" t="s">
        <v>39</v>
      </c>
      <c r="M12" s="14"/>
      <c r="N12" s="14" t="str">
        <f ca="1">DATEDIF(C12, TODAY(), "m") &amp; " months, " &amp; DATEDIF(C12, TODAY(), "md") &amp; " days"</f>
        <v>18 months, 11 days</v>
      </c>
    </row>
    <row r="13" spans="2:14" ht="30" hidden="1" x14ac:dyDescent="0.25">
      <c r="B13" s="85">
        <v>10</v>
      </c>
      <c r="C13" s="159">
        <v>45324</v>
      </c>
      <c r="D13" s="159"/>
      <c r="E13" s="35" t="s">
        <v>16</v>
      </c>
      <c r="F13" s="174" t="s">
        <v>40</v>
      </c>
      <c r="G13" s="80"/>
      <c r="H13" s="80"/>
      <c r="I13" s="19" t="s">
        <v>18</v>
      </c>
      <c r="J13" s="80"/>
      <c r="K13" s="88" t="s">
        <v>19</v>
      </c>
      <c r="L13" s="19" t="s">
        <v>41</v>
      </c>
      <c r="M13" s="14"/>
      <c r="N13" s="14"/>
    </row>
    <row r="14" spans="2:14" ht="30" hidden="1" x14ac:dyDescent="0.25">
      <c r="B14" s="85">
        <v>11</v>
      </c>
      <c r="C14" s="159">
        <v>45324</v>
      </c>
      <c r="D14" s="159"/>
      <c r="E14" s="35" t="s">
        <v>16</v>
      </c>
      <c r="F14" s="174" t="s">
        <v>42</v>
      </c>
      <c r="G14" s="80"/>
      <c r="H14" s="80"/>
      <c r="I14" s="19" t="s">
        <v>18</v>
      </c>
      <c r="J14" s="80"/>
      <c r="K14" s="88" t="s">
        <v>19</v>
      </c>
      <c r="L14" s="19" t="s">
        <v>41</v>
      </c>
      <c r="M14" s="14"/>
      <c r="N14" s="14"/>
    </row>
    <row r="15" spans="2:14" ht="15.75" hidden="1" x14ac:dyDescent="0.25">
      <c r="B15" s="85">
        <v>12</v>
      </c>
      <c r="C15" s="159">
        <v>45325</v>
      </c>
      <c r="D15" s="159"/>
      <c r="E15" s="35" t="s">
        <v>16</v>
      </c>
      <c r="F15" s="174" t="s">
        <v>43</v>
      </c>
      <c r="G15" s="80"/>
      <c r="H15" s="80"/>
      <c r="I15" s="19" t="s">
        <v>18</v>
      </c>
      <c r="J15" s="80"/>
      <c r="K15" s="88" t="s">
        <v>19</v>
      </c>
      <c r="L15" s="127" t="s">
        <v>20</v>
      </c>
      <c r="M15" s="14"/>
      <c r="N15" s="14"/>
    </row>
    <row r="16" spans="2:14" hidden="1" x14ac:dyDescent="0.25">
      <c r="B16" s="85">
        <v>13</v>
      </c>
      <c r="C16" s="159">
        <v>45325</v>
      </c>
      <c r="D16" s="159"/>
      <c r="E16" s="80" t="s">
        <v>16</v>
      </c>
      <c r="F16" s="176" t="s">
        <v>44</v>
      </c>
      <c r="G16" s="80"/>
      <c r="H16" s="80"/>
      <c r="I16" s="19" t="s">
        <v>18</v>
      </c>
      <c r="J16" s="80"/>
      <c r="K16" s="88" t="s">
        <v>19</v>
      </c>
      <c r="L16" s="19" t="s">
        <v>41</v>
      </c>
      <c r="M16" s="14"/>
      <c r="N16" s="14"/>
    </row>
    <row r="17" spans="2:14" ht="15.75" hidden="1" x14ac:dyDescent="0.25">
      <c r="B17" s="85">
        <v>14</v>
      </c>
      <c r="C17" s="159">
        <v>45333</v>
      </c>
      <c r="D17" s="159"/>
      <c r="E17" s="80" t="s">
        <v>16</v>
      </c>
      <c r="F17" s="174" t="s">
        <v>45</v>
      </c>
      <c r="G17" s="80"/>
      <c r="H17" s="80"/>
      <c r="I17" s="19" t="s">
        <v>18</v>
      </c>
      <c r="J17" s="80"/>
      <c r="K17" s="88" t="s">
        <v>19</v>
      </c>
      <c r="L17" s="127" t="s">
        <v>20</v>
      </c>
      <c r="M17" s="14"/>
      <c r="N17" s="14"/>
    </row>
    <row r="18" spans="2:14" ht="30" hidden="1" x14ac:dyDescent="0.25">
      <c r="B18" s="85">
        <v>15</v>
      </c>
      <c r="C18" s="159">
        <v>45333</v>
      </c>
      <c r="D18" s="159"/>
      <c r="E18" s="80" t="s">
        <v>16</v>
      </c>
      <c r="F18" s="174" t="s">
        <v>46</v>
      </c>
      <c r="G18" s="80"/>
      <c r="H18" s="80"/>
      <c r="I18" s="19" t="s">
        <v>18</v>
      </c>
      <c r="J18" s="80"/>
      <c r="K18" s="88" t="s">
        <v>19</v>
      </c>
      <c r="L18" s="127" t="s">
        <v>20</v>
      </c>
      <c r="M18" s="14"/>
      <c r="N18" s="14"/>
    </row>
    <row r="19" spans="2:14" ht="45" hidden="1" x14ac:dyDescent="0.25">
      <c r="B19" s="85">
        <v>16</v>
      </c>
      <c r="C19" s="159">
        <v>45333</v>
      </c>
      <c r="D19" s="159"/>
      <c r="E19" s="80" t="s">
        <v>16</v>
      </c>
      <c r="F19" s="174" t="s">
        <v>47</v>
      </c>
      <c r="G19" s="80"/>
      <c r="H19" s="80"/>
      <c r="I19" s="19" t="s">
        <v>18</v>
      </c>
      <c r="J19" s="80"/>
      <c r="K19" s="88" t="s">
        <v>19</v>
      </c>
      <c r="L19" s="95" t="s">
        <v>48</v>
      </c>
      <c r="M19" s="14"/>
      <c r="N19" s="14"/>
    </row>
    <row r="20" spans="2:14" ht="30" x14ac:dyDescent="0.25">
      <c r="B20" s="85">
        <v>17</v>
      </c>
      <c r="C20" s="98">
        <v>45342</v>
      </c>
      <c r="D20" s="159">
        <v>45314</v>
      </c>
      <c r="E20" s="19" t="s">
        <v>49</v>
      </c>
      <c r="F20" s="174" t="s">
        <v>50</v>
      </c>
      <c r="G20" s="80"/>
      <c r="H20" s="80"/>
      <c r="I20" s="20" t="s">
        <v>18</v>
      </c>
      <c r="J20" s="80"/>
      <c r="K20" s="233" t="s">
        <v>19</v>
      </c>
      <c r="L20" s="95" t="s">
        <v>51</v>
      </c>
      <c r="M20" s="14"/>
      <c r="N20" s="14" t="str">
        <f t="shared" ref="N20:N27" ca="1" si="0">DATEDIF(C20, TODAY(), "m") &amp; " months, " &amp; DATEDIF(C20, TODAY(), "md") &amp; " days"</f>
        <v>17 months, 24 days</v>
      </c>
    </row>
    <row r="21" spans="2:14" ht="30" hidden="1" x14ac:dyDescent="0.25">
      <c r="B21" s="85">
        <v>18</v>
      </c>
      <c r="C21" s="98">
        <v>45342</v>
      </c>
      <c r="D21" s="159">
        <v>45314</v>
      </c>
      <c r="E21" s="19" t="s">
        <v>49</v>
      </c>
      <c r="F21" s="174" t="s">
        <v>52</v>
      </c>
      <c r="G21" s="80"/>
      <c r="H21" s="80"/>
      <c r="I21" s="19" t="s">
        <v>18</v>
      </c>
      <c r="J21" s="80"/>
      <c r="K21" s="88" t="s">
        <v>19</v>
      </c>
      <c r="L21" s="95" t="s">
        <v>53</v>
      </c>
      <c r="M21" s="14"/>
      <c r="N21" s="14"/>
    </row>
    <row r="22" spans="2:14" ht="30" hidden="1" x14ac:dyDescent="0.25">
      <c r="B22" s="85">
        <v>19</v>
      </c>
      <c r="C22" s="98">
        <v>45342</v>
      </c>
      <c r="D22" s="159">
        <v>45314</v>
      </c>
      <c r="E22" s="19" t="s">
        <v>49</v>
      </c>
      <c r="F22" s="174" t="s">
        <v>54</v>
      </c>
      <c r="G22" s="80"/>
      <c r="H22" s="80"/>
      <c r="I22" s="19" t="s">
        <v>18</v>
      </c>
      <c r="J22" s="80"/>
      <c r="K22" s="88" t="s">
        <v>19</v>
      </c>
      <c r="L22" s="95" t="s">
        <v>53</v>
      </c>
      <c r="M22" s="14"/>
      <c r="N22" s="14"/>
    </row>
    <row r="23" spans="2:14" ht="30" hidden="1" x14ac:dyDescent="0.25">
      <c r="B23" s="85">
        <v>20</v>
      </c>
      <c r="C23" s="98">
        <v>45342</v>
      </c>
      <c r="D23" s="159">
        <v>45314</v>
      </c>
      <c r="E23" s="19" t="s">
        <v>49</v>
      </c>
      <c r="F23" s="174" t="s">
        <v>55</v>
      </c>
      <c r="G23" s="80"/>
      <c r="H23" s="80"/>
      <c r="I23" s="19" t="s">
        <v>18</v>
      </c>
      <c r="J23" s="80"/>
      <c r="K23" s="88" t="s">
        <v>19</v>
      </c>
      <c r="L23" s="95" t="s">
        <v>53</v>
      </c>
      <c r="M23" s="14"/>
      <c r="N23" s="14"/>
    </row>
    <row r="24" spans="2:14" ht="30" hidden="1" x14ac:dyDescent="0.25">
      <c r="B24" s="85">
        <v>21</v>
      </c>
      <c r="C24" s="98">
        <v>45342</v>
      </c>
      <c r="D24" s="159">
        <v>45314</v>
      </c>
      <c r="E24" s="19" t="s">
        <v>49</v>
      </c>
      <c r="F24" s="174" t="s">
        <v>56</v>
      </c>
      <c r="G24" s="80"/>
      <c r="H24" s="80"/>
      <c r="I24" s="19" t="s">
        <v>18</v>
      </c>
      <c r="J24" s="19"/>
      <c r="K24" s="88" t="s">
        <v>19</v>
      </c>
      <c r="L24" s="95" t="s">
        <v>53</v>
      </c>
      <c r="M24" s="14"/>
      <c r="N24" s="14"/>
    </row>
    <row r="25" spans="2:14" ht="31.5" hidden="1" x14ac:dyDescent="0.25">
      <c r="B25" s="85">
        <v>22</v>
      </c>
      <c r="C25" s="98">
        <v>45342</v>
      </c>
      <c r="D25" s="159">
        <v>45314</v>
      </c>
      <c r="E25" s="19" t="s">
        <v>49</v>
      </c>
      <c r="F25" s="166" t="s">
        <v>57</v>
      </c>
      <c r="G25" s="80"/>
      <c r="H25" s="80"/>
      <c r="I25" s="19" t="s">
        <v>18</v>
      </c>
      <c r="J25" s="80"/>
      <c r="K25" s="88" t="s">
        <v>19</v>
      </c>
      <c r="L25" s="127" t="s">
        <v>20</v>
      </c>
      <c r="M25" s="14"/>
      <c r="N25" s="14"/>
    </row>
    <row r="26" spans="2:14" ht="31.5" x14ac:dyDescent="0.25">
      <c r="B26" s="85">
        <v>23</v>
      </c>
      <c r="C26" s="98">
        <v>45342</v>
      </c>
      <c r="D26" s="159">
        <v>45314</v>
      </c>
      <c r="E26" s="19" t="s">
        <v>49</v>
      </c>
      <c r="F26" s="166" t="s">
        <v>58</v>
      </c>
      <c r="G26" s="80"/>
      <c r="H26" s="80"/>
      <c r="I26" s="20" t="s">
        <v>18</v>
      </c>
      <c r="J26" s="80"/>
      <c r="K26" s="101" t="s">
        <v>19</v>
      </c>
      <c r="L26" s="32" t="s">
        <v>59</v>
      </c>
      <c r="M26" s="14"/>
      <c r="N26" s="14"/>
    </row>
    <row r="27" spans="2:14" ht="31.5" x14ac:dyDescent="0.25">
      <c r="B27" s="85">
        <v>24</v>
      </c>
      <c r="C27" s="98">
        <v>45342</v>
      </c>
      <c r="D27" s="159">
        <v>45314</v>
      </c>
      <c r="E27" s="19" t="s">
        <v>49</v>
      </c>
      <c r="F27" s="166" t="s">
        <v>60</v>
      </c>
      <c r="G27" s="80"/>
      <c r="H27" s="80"/>
      <c r="I27" s="20" t="s">
        <v>18</v>
      </c>
      <c r="J27" s="80"/>
      <c r="K27" s="233" t="s">
        <v>19</v>
      </c>
      <c r="L27" s="32" t="s">
        <v>59</v>
      </c>
      <c r="M27" s="14"/>
      <c r="N27" s="14" t="str">
        <f t="shared" ca="1" si="0"/>
        <v>17 months, 24 days</v>
      </c>
    </row>
    <row r="28" spans="2:14" ht="31.5" x14ac:dyDescent="0.25">
      <c r="B28" s="85">
        <v>25</v>
      </c>
      <c r="C28" s="98">
        <v>45342</v>
      </c>
      <c r="D28" s="159">
        <v>45314</v>
      </c>
      <c r="E28" s="19" t="s">
        <v>49</v>
      </c>
      <c r="F28" s="166" t="s">
        <v>61</v>
      </c>
      <c r="G28" s="80"/>
      <c r="H28" s="80"/>
      <c r="I28" s="20" t="s">
        <v>18</v>
      </c>
      <c r="J28" s="80"/>
      <c r="K28" s="238" t="s">
        <v>19</v>
      </c>
      <c r="L28" s="32" t="s">
        <v>62</v>
      </c>
      <c r="M28" s="14"/>
      <c r="N28" s="14"/>
    </row>
    <row r="29" spans="2:14" ht="31.5" x14ac:dyDescent="0.25">
      <c r="B29" s="85">
        <v>26</v>
      </c>
      <c r="C29" s="98">
        <v>45342</v>
      </c>
      <c r="D29" s="159">
        <v>45314</v>
      </c>
      <c r="E29" s="19" t="s">
        <v>49</v>
      </c>
      <c r="F29" s="166" t="s">
        <v>63</v>
      </c>
      <c r="G29" s="80"/>
      <c r="H29" s="80"/>
      <c r="I29" s="20" t="s">
        <v>18</v>
      </c>
      <c r="J29" s="80"/>
      <c r="K29" s="101" t="s">
        <v>22</v>
      </c>
      <c r="L29" s="32" t="s">
        <v>59</v>
      </c>
      <c r="M29" s="14"/>
      <c r="N29" s="14"/>
    </row>
    <row r="30" spans="2:14" ht="31.5" x14ac:dyDescent="0.25">
      <c r="B30" s="85">
        <v>27</v>
      </c>
      <c r="C30" s="98">
        <v>45342</v>
      </c>
      <c r="D30" s="159">
        <v>45314</v>
      </c>
      <c r="E30" s="19" t="s">
        <v>49</v>
      </c>
      <c r="F30" s="166" t="s">
        <v>64</v>
      </c>
      <c r="G30" s="80"/>
      <c r="H30" s="80"/>
      <c r="I30" s="20" t="s">
        <v>18</v>
      </c>
      <c r="J30" s="80"/>
      <c r="K30" s="101" t="s">
        <v>22</v>
      </c>
      <c r="L30" s="32" t="s">
        <v>59</v>
      </c>
      <c r="M30" s="14"/>
      <c r="N30" s="14"/>
    </row>
    <row r="31" spans="2:14" ht="47.25" x14ac:dyDescent="0.25">
      <c r="B31" s="85">
        <v>28</v>
      </c>
      <c r="C31" s="98">
        <v>45342</v>
      </c>
      <c r="D31" s="159">
        <v>45314</v>
      </c>
      <c r="E31" s="19" t="s">
        <v>49</v>
      </c>
      <c r="F31" s="166" t="s">
        <v>65</v>
      </c>
      <c r="G31" s="80"/>
      <c r="H31" s="80"/>
      <c r="I31" s="20" t="s">
        <v>18</v>
      </c>
      <c r="J31" s="80"/>
      <c r="K31" s="90" t="s">
        <v>22</v>
      </c>
      <c r="L31" s="32" t="s">
        <v>66</v>
      </c>
      <c r="M31" s="14"/>
      <c r="N31" s="14"/>
    </row>
    <row r="32" spans="2:14" ht="30" x14ac:dyDescent="0.25">
      <c r="B32" s="85">
        <v>29</v>
      </c>
      <c r="C32" s="98">
        <v>45342</v>
      </c>
      <c r="D32" s="159">
        <v>45314</v>
      </c>
      <c r="E32" s="19" t="s">
        <v>49</v>
      </c>
      <c r="F32" s="166" t="s">
        <v>67</v>
      </c>
      <c r="G32" s="80"/>
      <c r="H32" s="80"/>
      <c r="I32" s="20" t="s">
        <v>18</v>
      </c>
      <c r="J32" s="80"/>
      <c r="K32" s="238" t="s">
        <v>19</v>
      </c>
      <c r="L32" s="32" t="s">
        <v>51</v>
      </c>
      <c r="M32" s="14"/>
      <c r="N32" s="14"/>
    </row>
    <row r="33" spans="2:14" ht="31.5" x14ac:dyDescent="0.25">
      <c r="B33" s="85">
        <v>30</v>
      </c>
      <c r="C33" s="98">
        <v>45342</v>
      </c>
      <c r="D33" s="159">
        <v>45314</v>
      </c>
      <c r="E33" s="19" t="s">
        <v>49</v>
      </c>
      <c r="F33" s="166" t="s">
        <v>68</v>
      </c>
      <c r="G33" s="80"/>
      <c r="H33" s="80"/>
      <c r="I33" s="20" t="s">
        <v>18</v>
      </c>
      <c r="J33" s="80"/>
      <c r="K33" s="238" t="s">
        <v>19</v>
      </c>
      <c r="L33" s="32" t="s">
        <v>51</v>
      </c>
      <c r="M33" s="14"/>
      <c r="N33" s="14"/>
    </row>
    <row r="34" spans="2:14" ht="31.5" hidden="1" x14ac:dyDescent="0.25">
      <c r="B34" s="85">
        <v>31</v>
      </c>
      <c r="C34" s="98">
        <v>45342</v>
      </c>
      <c r="D34" s="159">
        <v>45314</v>
      </c>
      <c r="E34" s="19" t="s">
        <v>49</v>
      </c>
      <c r="F34" s="166" t="s">
        <v>69</v>
      </c>
      <c r="G34" s="80"/>
      <c r="H34" s="80"/>
      <c r="I34" s="19" t="s">
        <v>18</v>
      </c>
      <c r="J34" s="80"/>
      <c r="K34" s="88" t="s">
        <v>19</v>
      </c>
      <c r="L34" s="32" t="s">
        <v>70</v>
      </c>
      <c r="M34" s="14"/>
      <c r="N34" s="14"/>
    </row>
    <row r="35" spans="2:14" ht="47.25" x14ac:dyDescent="0.25">
      <c r="B35" s="85">
        <v>32</v>
      </c>
      <c r="C35" s="98">
        <v>45342</v>
      </c>
      <c r="D35" s="159">
        <v>45314</v>
      </c>
      <c r="E35" s="19" t="s">
        <v>49</v>
      </c>
      <c r="F35" s="166" t="s">
        <v>71</v>
      </c>
      <c r="G35" s="80"/>
      <c r="H35" s="80"/>
      <c r="I35" s="19" t="s">
        <v>18</v>
      </c>
      <c r="J35" s="80"/>
      <c r="K35" s="88" t="s">
        <v>19</v>
      </c>
      <c r="L35" s="166" t="s">
        <v>72</v>
      </c>
      <c r="M35" s="14"/>
      <c r="N35" s="14"/>
    </row>
    <row r="36" spans="2:14" ht="31.5" hidden="1" x14ac:dyDescent="0.25">
      <c r="B36" s="85">
        <v>33</v>
      </c>
      <c r="C36" s="98">
        <v>45342</v>
      </c>
      <c r="D36" s="159">
        <v>45314</v>
      </c>
      <c r="E36" s="19" t="s">
        <v>49</v>
      </c>
      <c r="F36" s="166" t="s">
        <v>73</v>
      </c>
      <c r="G36" s="80"/>
      <c r="H36" s="80"/>
      <c r="I36" s="19" t="s">
        <v>18</v>
      </c>
      <c r="J36" s="80"/>
      <c r="K36" s="88" t="s">
        <v>19</v>
      </c>
      <c r="L36" s="32" t="s">
        <v>53</v>
      </c>
      <c r="M36" s="14"/>
      <c r="N36" s="14"/>
    </row>
    <row r="37" spans="2:14" ht="60" hidden="1" x14ac:dyDescent="0.25">
      <c r="B37" s="85">
        <v>34</v>
      </c>
      <c r="C37" s="98">
        <v>45342</v>
      </c>
      <c r="D37" s="159">
        <v>45314</v>
      </c>
      <c r="E37" s="19" t="s">
        <v>49</v>
      </c>
      <c r="F37" s="166" t="s">
        <v>74</v>
      </c>
      <c r="G37" s="80"/>
      <c r="H37" s="80"/>
      <c r="I37" s="19" t="s">
        <v>18</v>
      </c>
      <c r="J37" s="80"/>
      <c r="K37" s="94" t="s">
        <v>25</v>
      </c>
      <c r="L37" s="32" t="s">
        <v>75</v>
      </c>
      <c r="M37" s="14" t="s">
        <v>76</v>
      </c>
      <c r="N37" s="14" t="str">
        <f ca="1">DATEDIF(C37, TODAY(), "m") &amp; " months, " &amp; DATEDIF(C37, TODAY(), "md") &amp; " days"</f>
        <v>17 months, 24 days</v>
      </c>
    </row>
    <row r="38" spans="2:14" ht="30" hidden="1" x14ac:dyDescent="0.25">
      <c r="B38" s="85">
        <v>35</v>
      </c>
      <c r="C38" s="159">
        <v>45354</v>
      </c>
      <c r="D38" s="19"/>
      <c r="E38" s="35" t="s">
        <v>77</v>
      </c>
      <c r="F38" s="174" t="s">
        <v>78</v>
      </c>
      <c r="G38" s="19" t="s">
        <v>18</v>
      </c>
      <c r="H38" s="35"/>
      <c r="I38" s="35"/>
      <c r="J38" s="35"/>
      <c r="K38" s="88" t="s">
        <v>19</v>
      </c>
      <c r="L38" s="35" t="s">
        <v>79</v>
      </c>
      <c r="M38" s="14"/>
      <c r="N38" s="14"/>
    </row>
    <row r="39" spans="2:14" s="97" customFormat="1" ht="90" hidden="1" x14ac:dyDescent="0.25">
      <c r="B39" s="85">
        <v>36</v>
      </c>
      <c r="C39" s="98">
        <v>45357</v>
      </c>
      <c r="D39" s="159">
        <v>45350</v>
      </c>
      <c r="E39" s="35" t="s">
        <v>16</v>
      </c>
      <c r="F39" s="174" t="s">
        <v>80</v>
      </c>
      <c r="G39" s="35"/>
      <c r="H39" s="35"/>
      <c r="I39" s="19" t="s">
        <v>18</v>
      </c>
      <c r="J39" s="35"/>
      <c r="K39" s="96" t="s">
        <v>25</v>
      </c>
      <c r="L39" s="19" t="s">
        <v>81</v>
      </c>
      <c r="M39" s="14"/>
      <c r="N39" s="14" t="str">
        <f ca="1">DATEDIF(C39, TODAY(), "m") &amp; " months, " &amp; DATEDIF(C39, TODAY(), "md") &amp; " days"</f>
        <v>17 months, 7 days</v>
      </c>
    </row>
    <row r="40" spans="2:14" s="97" customFormat="1" ht="30" hidden="1" x14ac:dyDescent="0.25">
      <c r="B40" s="85">
        <v>37</v>
      </c>
      <c r="C40" s="98">
        <v>45362</v>
      </c>
      <c r="D40" s="98"/>
      <c r="E40" s="19" t="s">
        <v>82</v>
      </c>
      <c r="F40" s="176" t="s">
        <v>83</v>
      </c>
      <c r="G40" s="35"/>
      <c r="H40" s="35"/>
      <c r="I40" s="19"/>
      <c r="J40" s="19" t="s">
        <v>18</v>
      </c>
      <c r="K40" s="99" t="s">
        <v>29</v>
      </c>
      <c r="L40" s="127" t="s">
        <v>20</v>
      </c>
      <c r="M40" s="14"/>
      <c r="N40" s="14"/>
    </row>
    <row r="41" spans="2:14" s="97" customFormat="1" ht="30" hidden="1" x14ac:dyDescent="0.25">
      <c r="B41" s="85">
        <v>38</v>
      </c>
      <c r="C41" s="98">
        <v>45369</v>
      </c>
      <c r="D41" s="98"/>
      <c r="E41" s="19" t="s">
        <v>82</v>
      </c>
      <c r="F41" s="174" t="s">
        <v>84</v>
      </c>
      <c r="G41" s="35"/>
      <c r="H41" s="35"/>
      <c r="I41" s="19"/>
      <c r="J41" s="19" t="s">
        <v>18</v>
      </c>
      <c r="K41" s="92" t="s">
        <v>29</v>
      </c>
      <c r="L41" s="127" t="s">
        <v>20</v>
      </c>
      <c r="M41" s="14"/>
      <c r="N41" s="14"/>
    </row>
    <row r="42" spans="2:14" s="91" customFormat="1" ht="30" hidden="1" x14ac:dyDescent="0.25">
      <c r="B42" s="85">
        <v>39</v>
      </c>
      <c r="C42" s="98">
        <v>45373</v>
      </c>
      <c r="D42" s="19"/>
      <c r="E42" s="19" t="s">
        <v>82</v>
      </c>
      <c r="F42" s="174" t="s">
        <v>85</v>
      </c>
      <c r="G42" s="19"/>
      <c r="H42" s="19"/>
      <c r="I42" s="19"/>
      <c r="J42" s="19" t="s">
        <v>18</v>
      </c>
      <c r="K42" s="92" t="s">
        <v>29</v>
      </c>
      <c r="L42" s="127" t="s">
        <v>20</v>
      </c>
      <c r="M42" s="14"/>
      <c r="N42" s="14"/>
    </row>
    <row r="43" spans="2:14" ht="30" hidden="1" x14ac:dyDescent="0.25">
      <c r="B43" s="85">
        <v>40</v>
      </c>
      <c r="C43" s="70">
        <v>45373</v>
      </c>
      <c r="D43" s="70"/>
      <c r="E43" s="80" t="s">
        <v>86</v>
      </c>
      <c r="F43" s="174" t="s">
        <v>87</v>
      </c>
      <c r="G43" s="80"/>
      <c r="H43" s="80"/>
      <c r="I43" s="19" t="s">
        <v>18</v>
      </c>
      <c r="J43" s="80"/>
      <c r="K43" s="163" t="s">
        <v>25</v>
      </c>
      <c r="L43" s="152" t="s">
        <v>88</v>
      </c>
      <c r="M43" s="14"/>
      <c r="N43" s="14"/>
    </row>
    <row r="44" spans="2:14" ht="30" hidden="1" x14ac:dyDescent="0.25">
      <c r="B44" s="85">
        <v>41</v>
      </c>
      <c r="C44" s="100">
        <v>45376</v>
      </c>
      <c r="D44" s="100"/>
      <c r="E44" s="19" t="s">
        <v>82</v>
      </c>
      <c r="F44" s="174" t="s">
        <v>89</v>
      </c>
      <c r="G44" s="80"/>
      <c r="H44" s="80"/>
      <c r="I44" s="80"/>
      <c r="J44" s="19" t="s">
        <v>18</v>
      </c>
      <c r="K44" s="92" t="s">
        <v>29</v>
      </c>
      <c r="L44" s="127" t="s">
        <v>20</v>
      </c>
      <c r="M44" s="14"/>
      <c r="N44" s="14"/>
    </row>
    <row r="45" spans="2:14" ht="45" hidden="1" x14ac:dyDescent="0.25">
      <c r="B45" s="85">
        <v>42</v>
      </c>
      <c r="C45" s="100">
        <v>45383</v>
      </c>
      <c r="D45" s="100"/>
      <c r="E45" s="80" t="s">
        <v>16</v>
      </c>
      <c r="F45" s="174" t="s">
        <v>90</v>
      </c>
      <c r="G45" s="35"/>
      <c r="H45" s="35" t="s">
        <v>18</v>
      </c>
      <c r="I45" s="35"/>
      <c r="J45" s="80"/>
      <c r="K45" s="101" t="s">
        <v>29</v>
      </c>
      <c r="L45" s="19" t="s">
        <v>91</v>
      </c>
      <c r="M45" s="14"/>
      <c r="N45" s="14"/>
    </row>
    <row r="46" spans="2:14" ht="30" hidden="1" x14ac:dyDescent="0.25">
      <c r="B46" s="85">
        <v>43</v>
      </c>
      <c r="C46" s="155">
        <v>45388</v>
      </c>
      <c r="D46" s="155">
        <v>45381</v>
      </c>
      <c r="E46" s="45" t="s">
        <v>34</v>
      </c>
      <c r="F46" s="176" t="s">
        <v>92</v>
      </c>
      <c r="G46" s="80"/>
      <c r="H46" s="80"/>
      <c r="I46" s="95"/>
      <c r="J46" s="19" t="s">
        <v>18</v>
      </c>
      <c r="K46" s="101" t="s">
        <v>29</v>
      </c>
      <c r="L46" s="127" t="s">
        <v>20</v>
      </c>
      <c r="M46" s="14"/>
      <c r="N46" s="14"/>
    </row>
    <row r="47" spans="2:14" ht="30" hidden="1" x14ac:dyDescent="0.25">
      <c r="B47" s="85">
        <v>44</v>
      </c>
      <c r="C47" s="100">
        <v>45388</v>
      </c>
      <c r="D47" s="100"/>
      <c r="E47" s="45" t="s">
        <v>34</v>
      </c>
      <c r="F47" s="176" t="s">
        <v>93</v>
      </c>
      <c r="G47" s="80"/>
      <c r="H47" s="80"/>
      <c r="I47" s="80"/>
      <c r="J47" s="19" t="s">
        <v>18</v>
      </c>
      <c r="K47" s="101" t="s">
        <v>29</v>
      </c>
      <c r="L47" s="80" t="s">
        <v>94</v>
      </c>
      <c r="M47" s="14"/>
      <c r="N47" s="14"/>
    </row>
    <row r="48" spans="2:14" ht="30" hidden="1" x14ac:dyDescent="0.25">
      <c r="B48" s="85">
        <v>45</v>
      </c>
      <c r="C48" s="156">
        <v>45389</v>
      </c>
      <c r="D48" s="102"/>
      <c r="E48" s="45" t="s">
        <v>34</v>
      </c>
      <c r="F48" s="176" t="s">
        <v>95</v>
      </c>
      <c r="G48" s="80"/>
      <c r="H48" s="80"/>
      <c r="I48" s="80"/>
      <c r="J48" s="19" t="s">
        <v>18</v>
      </c>
      <c r="K48" s="101" t="s">
        <v>29</v>
      </c>
      <c r="L48" s="80" t="s">
        <v>94</v>
      </c>
      <c r="M48" s="14"/>
      <c r="N48" s="14"/>
    </row>
    <row r="49" spans="2:14" ht="45" x14ac:dyDescent="0.25">
      <c r="B49" s="85">
        <v>46</v>
      </c>
      <c r="C49" s="157">
        <v>45389</v>
      </c>
      <c r="D49" s="105" t="s">
        <v>96</v>
      </c>
      <c r="E49" s="108" t="s">
        <v>97</v>
      </c>
      <c r="F49" s="177" t="s">
        <v>98</v>
      </c>
      <c r="G49" s="109"/>
      <c r="H49" s="105"/>
      <c r="I49" s="20" t="s">
        <v>18</v>
      </c>
      <c r="K49" s="99" t="s">
        <v>19</v>
      </c>
      <c r="L49" s="120" t="s">
        <v>99</v>
      </c>
      <c r="M49" s="14" t="s">
        <v>100</v>
      </c>
      <c r="N49" s="14"/>
    </row>
    <row r="50" spans="2:14" ht="36.75" customHeight="1" x14ac:dyDescent="0.25">
      <c r="B50" s="85">
        <v>47</v>
      </c>
      <c r="C50" s="157">
        <v>45389</v>
      </c>
      <c r="D50" s="105" t="s">
        <v>96</v>
      </c>
      <c r="E50" s="108" t="s">
        <v>97</v>
      </c>
      <c r="F50" s="178" t="s">
        <v>101</v>
      </c>
      <c r="G50" s="114"/>
      <c r="H50" s="107"/>
      <c r="I50" s="20" t="s">
        <v>18</v>
      </c>
      <c r="J50" s="19"/>
      <c r="K50" s="99" t="s">
        <v>19</v>
      </c>
      <c r="L50" s="120" t="s">
        <v>99</v>
      </c>
      <c r="M50" s="14" t="s">
        <v>100</v>
      </c>
      <c r="N50" s="14"/>
    </row>
    <row r="51" spans="2:14" ht="45" x14ac:dyDescent="0.25">
      <c r="B51" s="85">
        <v>48</v>
      </c>
      <c r="C51" s="157">
        <v>45389</v>
      </c>
      <c r="D51" s="105" t="s">
        <v>96</v>
      </c>
      <c r="E51" s="108" t="s">
        <v>97</v>
      </c>
      <c r="F51" s="179" t="s">
        <v>102</v>
      </c>
      <c r="H51" s="80"/>
      <c r="I51" s="20" t="s">
        <v>18</v>
      </c>
      <c r="J51" s="19"/>
      <c r="K51" s="99" t="s">
        <v>19</v>
      </c>
      <c r="L51" s="120" t="s">
        <v>99</v>
      </c>
      <c r="M51" s="14" t="s">
        <v>100</v>
      </c>
      <c r="N51" s="14"/>
    </row>
    <row r="52" spans="2:14" ht="45.75" thickBot="1" x14ac:dyDescent="0.3">
      <c r="B52" s="85">
        <v>49</v>
      </c>
      <c r="C52" s="157">
        <v>45389</v>
      </c>
      <c r="D52" s="105" t="s">
        <v>96</v>
      </c>
      <c r="E52" s="108" t="s">
        <v>97</v>
      </c>
      <c r="F52" s="179" t="s">
        <v>103</v>
      </c>
      <c r="G52" s="110"/>
      <c r="H52" s="80"/>
      <c r="I52" s="20" t="s">
        <v>18</v>
      </c>
      <c r="J52" s="19"/>
      <c r="K52" s="99" t="s">
        <v>19</v>
      </c>
      <c r="L52" s="120" t="s">
        <v>99</v>
      </c>
      <c r="M52" s="14" t="s">
        <v>100</v>
      </c>
      <c r="N52" s="14"/>
    </row>
    <row r="53" spans="2:14" ht="32.25" thickBot="1" x14ac:dyDescent="0.3">
      <c r="B53" s="85">
        <v>50</v>
      </c>
      <c r="C53" s="157">
        <v>45389</v>
      </c>
      <c r="D53" s="105" t="s">
        <v>96</v>
      </c>
      <c r="E53" s="108" t="s">
        <v>104</v>
      </c>
      <c r="F53" s="180" t="s">
        <v>105</v>
      </c>
      <c r="G53" s="110"/>
      <c r="H53" s="80"/>
      <c r="I53" s="20" t="s">
        <v>18</v>
      </c>
      <c r="J53" s="19"/>
      <c r="K53" s="99" t="s">
        <v>19</v>
      </c>
      <c r="L53" s="123" t="s">
        <v>106</v>
      </c>
      <c r="M53" s="14"/>
      <c r="N53" s="14"/>
    </row>
    <row r="54" spans="2:14" ht="32.25" thickBot="1" x14ac:dyDescent="0.3">
      <c r="B54" s="85">
        <v>51</v>
      </c>
      <c r="C54" s="157">
        <v>45389</v>
      </c>
      <c r="D54" s="105" t="s">
        <v>96</v>
      </c>
      <c r="E54" s="108" t="s">
        <v>104</v>
      </c>
      <c r="F54" s="181" t="s">
        <v>98</v>
      </c>
      <c r="G54" s="110"/>
      <c r="H54" s="80"/>
      <c r="I54" s="20" t="s">
        <v>18</v>
      </c>
      <c r="J54" s="19"/>
      <c r="K54" s="99" t="s">
        <v>19</v>
      </c>
      <c r="L54" s="49" t="s">
        <v>99</v>
      </c>
      <c r="M54" s="14"/>
      <c r="N54" s="14"/>
    </row>
    <row r="55" spans="2:14" ht="32.25" thickBot="1" x14ac:dyDescent="0.3">
      <c r="B55" s="85">
        <v>52</v>
      </c>
      <c r="C55" s="157">
        <v>45389</v>
      </c>
      <c r="D55" s="105" t="s">
        <v>96</v>
      </c>
      <c r="E55" s="108" t="s">
        <v>104</v>
      </c>
      <c r="F55" s="181" t="s">
        <v>101</v>
      </c>
      <c r="G55" s="110"/>
      <c r="H55" s="80"/>
      <c r="I55" s="20" t="s">
        <v>18</v>
      </c>
      <c r="J55" s="19"/>
      <c r="K55" s="99" t="s">
        <v>19</v>
      </c>
      <c r="L55" s="49" t="s">
        <v>99</v>
      </c>
      <c r="M55" s="14"/>
      <c r="N55" s="14"/>
    </row>
    <row r="56" spans="2:14" ht="30" customHeight="1" thickBot="1" x14ac:dyDescent="0.3">
      <c r="B56" s="85">
        <v>53</v>
      </c>
      <c r="C56" s="157">
        <v>45389</v>
      </c>
      <c r="D56" s="105" t="s">
        <v>96</v>
      </c>
      <c r="E56" s="108" t="s">
        <v>104</v>
      </c>
      <c r="F56" s="182" t="s">
        <v>102</v>
      </c>
      <c r="G56" s="110"/>
      <c r="H56" s="80"/>
      <c r="I56" s="20" t="s">
        <v>18</v>
      </c>
      <c r="J56" s="19"/>
      <c r="K56" s="99" t="s">
        <v>19</v>
      </c>
      <c r="L56" s="120" t="s">
        <v>99</v>
      </c>
      <c r="M56" s="14"/>
      <c r="N56" s="14"/>
    </row>
    <row r="57" spans="2:14" ht="32.25" thickBot="1" x14ac:dyDescent="0.3">
      <c r="B57" s="85">
        <v>54</v>
      </c>
      <c r="C57" s="157">
        <v>45389</v>
      </c>
      <c r="D57" s="105" t="s">
        <v>96</v>
      </c>
      <c r="E57" s="108" t="s">
        <v>104</v>
      </c>
      <c r="F57" s="182" t="s">
        <v>103</v>
      </c>
      <c r="G57" s="110"/>
      <c r="H57" s="80"/>
      <c r="I57" s="20" t="s">
        <v>18</v>
      </c>
      <c r="J57" s="19"/>
      <c r="K57" s="99" t="s">
        <v>19</v>
      </c>
      <c r="L57" s="120" t="s">
        <v>99</v>
      </c>
      <c r="M57" s="14"/>
      <c r="N57" s="14"/>
    </row>
    <row r="58" spans="2:14" ht="30.75" thickBot="1" x14ac:dyDescent="0.3">
      <c r="B58" s="85">
        <v>55</v>
      </c>
      <c r="C58" s="157">
        <v>45389</v>
      </c>
      <c r="D58" s="105" t="s">
        <v>96</v>
      </c>
      <c r="E58" s="108" t="s">
        <v>104</v>
      </c>
      <c r="F58" s="182" t="s">
        <v>107</v>
      </c>
      <c r="G58" s="110"/>
      <c r="H58" s="80"/>
      <c r="I58" s="20" t="s">
        <v>18</v>
      </c>
      <c r="J58" s="19"/>
      <c r="K58" s="99" t="s">
        <v>19</v>
      </c>
      <c r="L58" s="120" t="s">
        <v>99</v>
      </c>
      <c r="M58" s="14"/>
      <c r="N58" s="14"/>
    </row>
    <row r="59" spans="2:14" ht="32.25" thickBot="1" x14ac:dyDescent="0.3">
      <c r="B59" s="85">
        <v>56</v>
      </c>
      <c r="C59" s="157">
        <v>45389</v>
      </c>
      <c r="D59" s="105" t="s">
        <v>96</v>
      </c>
      <c r="E59" s="108" t="s">
        <v>104</v>
      </c>
      <c r="F59" s="182" t="s">
        <v>108</v>
      </c>
      <c r="G59" s="110"/>
      <c r="H59" s="80"/>
      <c r="I59" s="20" t="s">
        <v>18</v>
      </c>
      <c r="J59" s="19"/>
      <c r="K59" s="133" t="s">
        <v>109</v>
      </c>
      <c r="L59" s="120" t="s">
        <v>99</v>
      </c>
      <c r="M59" s="14"/>
      <c r="N59" s="14" t="str">
        <f ca="1">DATEDIF(C59, TODAY(), "m") &amp; " months, " &amp; DATEDIF(C59, TODAY(), "md") &amp; " days"</f>
        <v>16 months, 6 days</v>
      </c>
    </row>
    <row r="60" spans="2:14" ht="30.75" thickBot="1" x14ac:dyDescent="0.3">
      <c r="B60" s="85">
        <v>57</v>
      </c>
      <c r="C60" s="157">
        <v>45389</v>
      </c>
      <c r="D60" s="105" t="s">
        <v>96</v>
      </c>
      <c r="E60" s="108" t="s">
        <v>104</v>
      </c>
      <c r="F60" s="181" t="s">
        <v>110</v>
      </c>
      <c r="G60" s="110"/>
      <c r="H60" s="80"/>
      <c r="I60" s="20" t="s">
        <v>18</v>
      </c>
      <c r="J60" s="19"/>
      <c r="K60" s="99" t="s">
        <v>19</v>
      </c>
      <c r="L60" s="120" t="s">
        <v>99</v>
      </c>
      <c r="M60" s="14"/>
      <c r="N60" s="14"/>
    </row>
    <row r="61" spans="2:14" ht="30.75" thickBot="1" x14ac:dyDescent="0.3">
      <c r="B61" s="85">
        <v>58</v>
      </c>
      <c r="C61" s="157">
        <v>45389</v>
      </c>
      <c r="D61" s="105" t="s">
        <v>96</v>
      </c>
      <c r="E61" s="108" t="s">
        <v>104</v>
      </c>
      <c r="F61" s="181" t="s">
        <v>111</v>
      </c>
      <c r="G61" s="110"/>
      <c r="H61" s="80"/>
      <c r="I61" s="20" t="s">
        <v>18</v>
      </c>
      <c r="J61" s="19"/>
      <c r="K61" s="99" t="s">
        <v>19</v>
      </c>
      <c r="L61" s="120" t="s">
        <v>99</v>
      </c>
      <c r="M61" s="14"/>
      <c r="N61" s="14"/>
    </row>
    <row r="62" spans="2:14" ht="31.5" x14ac:dyDescent="0.25">
      <c r="B62" s="85">
        <v>59</v>
      </c>
      <c r="C62" s="157">
        <v>45389</v>
      </c>
      <c r="D62" s="105" t="s">
        <v>96</v>
      </c>
      <c r="E62" s="108" t="s">
        <v>104</v>
      </c>
      <c r="F62" s="190" t="s">
        <v>112</v>
      </c>
      <c r="G62" s="110"/>
      <c r="H62" s="80"/>
      <c r="I62" s="20" t="s">
        <v>18</v>
      </c>
      <c r="J62" s="19"/>
      <c r="K62" s="99" t="s">
        <v>19</v>
      </c>
      <c r="L62" s="167" t="s">
        <v>99</v>
      </c>
      <c r="M62" s="14"/>
      <c r="N62" s="14"/>
    </row>
    <row r="63" spans="2:14" ht="30" x14ac:dyDescent="0.25">
      <c r="B63" s="85">
        <v>60</v>
      </c>
      <c r="C63" s="157">
        <v>45389</v>
      </c>
      <c r="D63" s="105" t="s">
        <v>96</v>
      </c>
      <c r="E63" s="108" t="s">
        <v>104</v>
      </c>
      <c r="F63" s="179" t="s">
        <v>113</v>
      </c>
      <c r="G63" s="110"/>
      <c r="H63" s="80"/>
      <c r="I63" s="20" t="s">
        <v>18</v>
      </c>
      <c r="J63" s="19"/>
      <c r="K63" s="238" t="s">
        <v>19</v>
      </c>
      <c r="L63" s="120" t="s">
        <v>99</v>
      </c>
      <c r="M63" s="14"/>
      <c r="N63" s="14"/>
    </row>
    <row r="64" spans="2:14" ht="30" x14ac:dyDescent="0.25">
      <c r="B64" s="85">
        <v>61</v>
      </c>
      <c r="C64" s="157">
        <v>45389</v>
      </c>
      <c r="D64" s="105" t="s">
        <v>96</v>
      </c>
      <c r="E64" s="108" t="s">
        <v>104</v>
      </c>
      <c r="F64" s="179" t="s">
        <v>115</v>
      </c>
      <c r="G64" s="109"/>
      <c r="H64" s="105"/>
      <c r="I64" s="20" t="s">
        <v>18</v>
      </c>
      <c r="J64" s="93"/>
      <c r="K64" s="99" t="s">
        <v>19</v>
      </c>
      <c r="L64" s="120" t="s">
        <v>99</v>
      </c>
      <c r="M64" s="14"/>
      <c r="N64" s="14"/>
    </row>
    <row r="65" spans="2:14" ht="32.25" thickBot="1" x14ac:dyDescent="0.3">
      <c r="B65" s="85">
        <v>62</v>
      </c>
      <c r="C65" s="157">
        <v>45389</v>
      </c>
      <c r="D65" s="105" t="s">
        <v>96</v>
      </c>
      <c r="E65" s="108" t="s">
        <v>104</v>
      </c>
      <c r="F65" s="184" t="s">
        <v>116</v>
      </c>
      <c r="G65" s="80"/>
      <c r="H65" s="80"/>
      <c r="I65" s="20" t="s">
        <v>18</v>
      </c>
      <c r="J65" s="19"/>
      <c r="K65" s="99" t="s">
        <v>19</v>
      </c>
      <c r="L65" s="120" t="s">
        <v>99</v>
      </c>
      <c r="M65" s="14"/>
      <c r="N65" s="14"/>
    </row>
    <row r="66" spans="2:14" ht="32.25" thickBot="1" x14ac:dyDescent="0.3">
      <c r="B66" s="85">
        <v>63</v>
      </c>
      <c r="C66" s="157">
        <v>45389</v>
      </c>
      <c r="D66" s="105" t="s">
        <v>96</v>
      </c>
      <c r="E66" s="108" t="s">
        <v>104</v>
      </c>
      <c r="F66" s="184" t="s">
        <v>117</v>
      </c>
      <c r="G66" s="80"/>
      <c r="H66" s="80"/>
      <c r="I66" s="20" t="s">
        <v>18</v>
      </c>
      <c r="J66" s="19"/>
      <c r="K66" s="99" t="s">
        <v>19</v>
      </c>
      <c r="L66" s="120" t="s">
        <v>99</v>
      </c>
      <c r="M66" s="14"/>
      <c r="N66" s="14"/>
    </row>
    <row r="67" spans="2:14" ht="32.25" thickBot="1" x14ac:dyDescent="0.3">
      <c r="B67" s="85">
        <v>64</v>
      </c>
      <c r="C67" s="157">
        <v>45389</v>
      </c>
      <c r="D67" s="105" t="s">
        <v>96</v>
      </c>
      <c r="E67" s="108" t="s">
        <v>104</v>
      </c>
      <c r="F67" s="183" t="s">
        <v>118</v>
      </c>
      <c r="G67" s="80"/>
      <c r="H67" s="80"/>
      <c r="I67" s="20" t="s">
        <v>18</v>
      </c>
      <c r="J67" s="19"/>
      <c r="K67" s="238" t="s">
        <v>19</v>
      </c>
      <c r="L67" s="120" t="s">
        <v>99</v>
      </c>
      <c r="M67" s="14"/>
      <c r="N67" s="14"/>
    </row>
    <row r="68" spans="2:14" ht="30.75" thickBot="1" x14ac:dyDescent="0.3">
      <c r="B68" s="85">
        <v>65</v>
      </c>
      <c r="C68" s="157">
        <v>45389</v>
      </c>
      <c r="D68" s="105" t="s">
        <v>96</v>
      </c>
      <c r="E68" s="108" t="s">
        <v>104</v>
      </c>
      <c r="F68" s="185" t="s">
        <v>119</v>
      </c>
      <c r="G68" s="80"/>
      <c r="H68" s="80"/>
      <c r="I68" s="20" t="s">
        <v>18</v>
      </c>
      <c r="J68" s="19"/>
      <c r="K68" s="99" t="s">
        <v>19</v>
      </c>
      <c r="L68" s="120" t="s">
        <v>99</v>
      </c>
      <c r="M68" s="14"/>
      <c r="N68" s="14"/>
    </row>
    <row r="69" spans="2:14" ht="32.25" thickBot="1" x14ac:dyDescent="0.3">
      <c r="B69" s="85">
        <v>66</v>
      </c>
      <c r="C69" s="157">
        <v>45389</v>
      </c>
      <c r="D69" s="105" t="s">
        <v>96</v>
      </c>
      <c r="E69" s="108" t="s">
        <v>104</v>
      </c>
      <c r="F69" s="185" t="s">
        <v>120</v>
      </c>
      <c r="G69" s="80"/>
      <c r="H69" s="80"/>
      <c r="I69" s="20" t="s">
        <v>18</v>
      </c>
      <c r="J69" s="19"/>
      <c r="K69" s="238" t="s">
        <v>19</v>
      </c>
      <c r="L69" s="120" t="s">
        <v>99</v>
      </c>
      <c r="M69" s="14"/>
      <c r="N69" s="14"/>
    </row>
    <row r="70" spans="2:14" ht="30.75" hidden="1" thickBot="1" x14ac:dyDescent="0.3">
      <c r="B70" s="85">
        <v>67</v>
      </c>
      <c r="C70" s="157">
        <v>45389</v>
      </c>
      <c r="D70" s="105" t="s">
        <v>96</v>
      </c>
      <c r="E70" s="108" t="s">
        <v>104</v>
      </c>
      <c r="F70" s="185" t="s">
        <v>121</v>
      </c>
      <c r="G70" s="80"/>
      <c r="H70" s="80"/>
      <c r="I70" s="20" t="s">
        <v>18</v>
      </c>
      <c r="J70" s="19"/>
      <c r="K70" s="233" t="s">
        <v>22</v>
      </c>
      <c r="L70" s="31" t="s">
        <v>122</v>
      </c>
      <c r="M70" s="14"/>
      <c r="N70" s="14" t="str">
        <f t="shared" ref="N70:N77" ca="1" si="1">DATEDIF(C70, TODAY(), "m") &amp; " months, " &amp; DATEDIF(C70, TODAY(), "md") &amp; " days"</f>
        <v>16 months, 6 days</v>
      </c>
    </row>
    <row r="71" spans="2:14" ht="32.25" hidden="1" thickBot="1" x14ac:dyDescent="0.3">
      <c r="B71" s="85">
        <v>68</v>
      </c>
      <c r="C71" s="157">
        <v>45389</v>
      </c>
      <c r="D71" s="105" t="s">
        <v>96</v>
      </c>
      <c r="E71" s="108" t="s">
        <v>104</v>
      </c>
      <c r="F71" s="183" t="s">
        <v>123</v>
      </c>
      <c r="G71" s="80"/>
      <c r="H71" s="80"/>
      <c r="I71" s="20" t="s">
        <v>18</v>
      </c>
      <c r="J71" s="19"/>
      <c r="K71" s="99" t="s">
        <v>19</v>
      </c>
      <c r="L71" s="31" t="s">
        <v>124</v>
      </c>
      <c r="M71" s="14"/>
      <c r="N71" s="14"/>
    </row>
    <row r="72" spans="2:14" ht="32.25" hidden="1" thickBot="1" x14ac:dyDescent="0.3">
      <c r="B72" s="85">
        <v>69</v>
      </c>
      <c r="C72" s="157">
        <v>45389</v>
      </c>
      <c r="D72" s="105" t="s">
        <v>96</v>
      </c>
      <c r="E72" s="108" t="s">
        <v>104</v>
      </c>
      <c r="F72" s="183" t="s">
        <v>125</v>
      </c>
      <c r="G72" s="95"/>
      <c r="H72" s="95"/>
      <c r="I72" s="20" t="s">
        <v>18</v>
      </c>
      <c r="J72" s="19"/>
      <c r="K72" s="233" t="s">
        <v>22</v>
      </c>
      <c r="L72" s="31" t="s">
        <v>122</v>
      </c>
      <c r="M72" s="14"/>
      <c r="N72" s="14" t="str">
        <f t="shared" ca="1" si="1"/>
        <v>16 months, 6 days</v>
      </c>
    </row>
    <row r="73" spans="2:14" ht="32.25" hidden="1" thickBot="1" x14ac:dyDescent="0.3">
      <c r="B73" s="85">
        <v>70</v>
      </c>
      <c r="C73" s="157">
        <v>45389</v>
      </c>
      <c r="D73" s="105" t="s">
        <v>96</v>
      </c>
      <c r="E73" s="108" t="s">
        <v>104</v>
      </c>
      <c r="F73" s="183" t="s">
        <v>126</v>
      </c>
      <c r="G73" s="95"/>
      <c r="H73" s="95"/>
      <c r="I73" s="20" t="s">
        <v>18</v>
      </c>
      <c r="J73" s="19"/>
      <c r="K73" s="233" t="s">
        <v>22</v>
      </c>
      <c r="L73" s="31" t="s">
        <v>127</v>
      </c>
      <c r="M73" s="14"/>
      <c r="N73" s="14" t="str">
        <f t="shared" ca="1" si="1"/>
        <v>16 months, 6 days</v>
      </c>
    </row>
    <row r="74" spans="2:14" ht="32.25" hidden="1" thickBot="1" x14ac:dyDescent="0.3">
      <c r="B74" s="85">
        <v>71</v>
      </c>
      <c r="C74" s="157">
        <v>45389</v>
      </c>
      <c r="D74" s="105" t="s">
        <v>96</v>
      </c>
      <c r="E74" s="108" t="s">
        <v>104</v>
      </c>
      <c r="F74" s="183" t="s">
        <v>128</v>
      </c>
      <c r="G74" s="95"/>
      <c r="H74" s="95"/>
      <c r="I74" s="20" t="s">
        <v>18</v>
      </c>
      <c r="J74" s="19"/>
      <c r="K74" s="233" t="s">
        <v>22</v>
      </c>
      <c r="L74" s="31" t="s">
        <v>122</v>
      </c>
      <c r="M74" s="14"/>
      <c r="N74" s="14" t="str">
        <f t="shared" ca="1" si="1"/>
        <v>16 months, 6 days</v>
      </c>
    </row>
    <row r="75" spans="2:14" ht="32.25" hidden="1" thickBot="1" x14ac:dyDescent="0.3">
      <c r="B75" s="85">
        <v>72</v>
      </c>
      <c r="C75" s="157">
        <v>45389</v>
      </c>
      <c r="D75" s="105" t="s">
        <v>96</v>
      </c>
      <c r="E75" s="108" t="s">
        <v>104</v>
      </c>
      <c r="F75" s="183" t="s">
        <v>129</v>
      </c>
      <c r="G75" s="95"/>
      <c r="H75" s="95"/>
      <c r="I75" s="20" t="s">
        <v>18</v>
      </c>
      <c r="J75" s="19"/>
      <c r="K75" s="233" t="s">
        <v>22</v>
      </c>
      <c r="L75" s="31" t="s">
        <v>122</v>
      </c>
      <c r="M75" s="14"/>
      <c r="N75" s="14" t="str">
        <f t="shared" ca="1" si="1"/>
        <v>16 months, 6 days</v>
      </c>
    </row>
    <row r="76" spans="2:14" ht="30.75" hidden="1" thickBot="1" x14ac:dyDescent="0.3">
      <c r="B76" s="85">
        <v>73</v>
      </c>
      <c r="C76" s="157">
        <v>45389</v>
      </c>
      <c r="D76" s="105" t="s">
        <v>96</v>
      </c>
      <c r="E76" s="108" t="s">
        <v>104</v>
      </c>
      <c r="F76" s="183" t="s">
        <v>130</v>
      </c>
      <c r="G76" s="95"/>
      <c r="H76" s="95"/>
      <c r="I76" s="20" t="s">
        <v>18</v>
      </c>
      <c r="J76" s="19"/>
      <c r="K76" s="101" t="s">
        <v>22</v>
      </c>
      <c r="L76" s="31" t="s">
        <v>122</v>
      </c>
      <c r="M76" s="14"/>
      <c r="N76" s="14"/>
    </row>
    <row r="77" spans="2:14" ht="63.75" hidden="1" thickBot="1" x14ac:dyDescent="0.3">
      <c r="B77" s="85">
        <v>74</v>
      </c>
      <c r="C77" s="157">
        <v>45389</v>
      </c>
      <c r="D77" s="105" t="s">
        <v>96</v>
      </c>
      <c r="E77" s="108" t="s">
        <v>104</v>
      </c>
      <c r="F77" s="183" t="s">
        <v>131</v>
      </c>
      <c r="G77" s="95"/>
      <c r="H77" s="95"/>
      <c r="I77" s="20" t="s">
        <v>18</v>
      </c>
      <c r="J77" s="19"/>
      <c r="K77" s="233" t="s">
        <v>22</v>
      </c>
      <c r="L77" s="31" t="s">
        <v>122</v>
      </c>
      <c r="M77" s="14"/>
      <c r="N77" s="14" t="str">
        <f t="shared" ca="1" si="1"/>
        <v>16 months, 6 days</v>
      </c>
    </row>
    <row r="78" spans="2:14" ht="32.25" hidden="1" thickBot="1" x14ac:dyDescent="0.3">
      <c r="B78" s="85">
        <v>75</v>
      </c>
      <c r="C78" s="157">
        <v>45389</v>
      </c>
      <c r="D78" s="105" t="s">
        <v>96</v>
      </c>
      <c r="E78" s="108" t="s">
        <v>104</v>
      </c>
      <c r="F78" s="183" t="s">
        <v>132</v>
      </c>
      <c r="G78" s="95"/>
      <c r="H78" s="95"/>
      <c r="I78" s="20" t="s">
        <v>18</v>
      </c>
      <c r="J78" s="19"/>
      <c r="K78" s="88" t="s">
        <v>19</v>
      </c>
      <c r="L78" s="31" t="s">
        <v>122</v>
      </c>
      <c r="M78" s="14"/>
      <c r="N78" s="14"/>
    </row>
    <row r="79" spans="2:14" ht="32.25" hidden="1" thickBot="1" x14ac:dyDescent="0.3">
      <c r="B79" s="85">
        <v>76</v>
      </c>
      <c r="C79" s="157">
        <v>45389</v>
      </c>
      <c r="D79" s="105" t="s">
        <v>96</v>
      </c>
      <c r="E79" s="108" t="s">
        <v>104</v>
      </c>
      <c r="F79" s="183" t="s">
        <v>133</v>
      </c>
      <c r="G79" s="95"/>
      <c r="H79" s="95"/>
      <c r="I79" s="20" t="s">
        <v>18</v>
      </c>
      <c r="J79" s="19"/>
      <c r="K79" s="99" t="s">
        <v>19</v>
      </c>
      <c r="L79" s="119" t="s">
        <v>134</v>
      </c>
      <c r="M79" s="14"/>
      <c r="N79" s="14"/>
    </row>
    <row r="80" spans="2:14" ht="32.25" hidden="1" thickBot="1" x14ac:dyDescent="0.3">
      <c r="B80" s="85">
        <v>77</v>
      </c>
      <c r="C80" s="157">
        <v>45389</v>
      </c>
      <c r="D80" s="105" t="s">
        <v>96</v>
      </c>
      <c r="E80" s="108" t="s">
        <v>104</v>
      </c>
      <c r="F80" s="183" t="s">
        <v>135</v>
      </c>
      <c r="G80" s="95"/>
      <c r="H80" s="95"/>
      <c r="I80" s="20" t="s">
        <v>18</v>
      </c>
      <c r="J80" s="19"/>
      <c r="K80" s="99" t="s">
        <v>19</v>
      </c>
      <c r="L80" s="119" t="s">
        <v>134</v>
      </c>
      <c r="M80" s="14"/>
      <c r="N80" s="14"/>
    </row>
    <row r="81" spans="2:14" ht="32.25" hidden="1" thickBot="1" x14ac:dyDescent="0.3">
      <c r="B81" s="85">
        <v>78</v>
      </c>
      <c r="C81" s="157">
        <v>45389</v>
      </c>
      <c r="D81" s="105" t="s">
        <v>96</v>
      </c>
      <c r="E81" s="108" t="s">
        <v>104</v>
      </c>
      <c r="F81" s="183" t="s">
        <v>136</v>
      </c>
      <c r="G81" s="95"/>
      <c r="H81" s="95"/>
      <c r="I81" s="20" t="s">
        <v>18</v>
      </c>
      <c r="J81" s="19"/>
      <c r="K81" s="99" t="s">
        <v>19</v>
      </c>
      <c r="L81" s="119" t="s">
        <v>134</v>
      </c>
      <c r="M81" s="14"/>
      <c r="N81" s="14"/>
    </row>
    <row r="82" spans="2:14" ht="30.75" hidden="1" thickBot="1" x14ac:dyDescent="0.3">
      <c r="B82" s="85">
        <v>79</v>
      </c>
      <c r="C82" s="157">
        <v>45389</v>
      </c>
      <c r="D82" s="105" t="s">
        <v>96</v>
      </c>
      <c r="E82" s="108" t="s">
        <v>104</v>
      </c>
      <c r="F82" s="183" t="s">
        <v>137</v>
      </c>
      <c r="G82" s="95"/>
      <c r="H82" s="95"/>
      <c r="I82" s="20" t="s">
        <v>18</v>
      </c>
      <c r="J82" s="19"/>
      <c r="K82" s="99" t="s">
        <v>19</v>
      </c>
      <c r="L82" s="119" t="s">
        <v>134</v>
      </c>
      <c r="M82" s="14"/>
      <c r="N82" s="14"/>
    </row>
    <row r="83" spans="2:14" ht="31.5" hidden="1" x14ac:dyDescent="0.25">
      <c r="B83" s="85">
        <v>80</v>
      </c>
      <c r="C83" s="157">
        <v>45389</v>
      </c>
      <c r="D83" s="105" t="s">
        <v>96</v>
      </c>
      <c r="E83" s="108" t="s">
        <v>104</v>
      </c>
      <c r="F83" s="186" t="s">
        <v>138</v>
      </c>
      <c r="G83" s="95"/>
      <c r="H83" s="95"/>
      <c r="I83" s="20" t="s">
        <v>18</v>
      </c>
      <c r="J83" s="19"/>
      <c r="K83" s="99" t="s">
        <v>19</v>
      </c>
      <c r="L83" s="119" t="s">
        <v>134</v>
      </c>
      <c r="M83" s="14"/>
      <c r="N83" s="14"/>
    </row>
    <row r="84" spans="2:14" ht="30" x14ac:dyDescent="0.25">
      <c r="B84" s="85">
        <v>81</v>
      </c>
      <c r="C84" s="157">
        <v>45389</v>
      </c>
      <c r="D84" s="105" t="s">
        <v>96</v>
      </c>
      <c r="E84" s="108" t="s">
        <v>139</v>
      </c>
      <c r="F84" s="187" t="s">
        <v>102</v>
      </c>
      <c r="G84" s="95"/>
      <c r="H84" s="95"/>
      <c r="I84" s="20" t="s">
        <v>18</v>
      </c>
      <c r="J84" s="19"/>
      <c r="K84" s="99" t="s">
        <v>19</v>
      </c>
      <c r="L84" s="125" t="s">
        <v>140</v>
      </c>
      <c r="M84" s="14"/>
      <c r="N84" s="14"/>
    </row>
    <row r="85" spans="2:14" ht="31.5" x14ac:dyDescent="0.25">
      <c r="B85" s="85">
        <v>82</v>
      </c>
      <c r="C85" s="157">
        <v>45389</v>
      </c>
      <c r="D85" s="105" t="s">
        <v>96</v>
      </c>
      <c r="E85" s="108" t="s">
        <v>139</v>
      </c>
      <c r="F85" s="187" t="s">
        <v>141</v>
      </c>
      <c r="G85" s="95"/>
      <c r="H85" s="95"/>
      <c r="I85" s="20" t="s">
        <v>18</v>
      </c>
      <c r="J85" s="19"/>
      <c r="K85" s="99" t="s">
        <v>19</v>
      </c>
      <c r="L85" s="128" t="s">
        <v>142</v>
      </c>
      <c r="M85" s="14"/>
      <c r="N85" s="14"/>
    </row>
    <row r="86" spans="2:14" ht="30" x14ac:dyDescent="0.25">
      <c r="B86" s="85">
        <v>83</v>
      </c>
      <c r="C86" s="157">
        <v>45389</v>
      </c>
      <c r="D86" s="105" t="s">
        <v>96</v>
      </c>
      <c r="E86" s="108" t="s">
        <v>139</v>
      </c>
      <c r="F86" s="187" t="s">
        <v>143</v>
      </c>
      <c r="G86" s="125"/>
      <c r="H86" s="125"/>
      <c r="I86" s="20" t="s">
        <v>18</v>
      </c>
      <c r="J86" s="125"/>
      <c r="K86" s="99" t="s">
        <v>19</v>
      </c>
      <c r="L86" s="125" t="s">
        <v>140</v>
      </c>
      <c r="M86" s="14"/>
      <c r="N86" s="14"/>
    </row>
    <row r="87" spans="2:14" ht="31.5" x14ac:dyDescent="0.25">
      <c r="B87" s="85">
        <v>84</v>
      </c>
      <c r="C87" s="157">
        <v>45389</v>
      </c>
      <c r="D87" s="105" t="s">
        <v>96</v>
      </c>
      <c r="E87" s="108" t="s">
        <v>139</v>
      </c>
      <c r="F87" s="166" t="s">
        <v>120</v>
      </c>
      <c r="G87" s="124"/>
      <c r="H87" s="124"/>
      <c r="I87" s="20" t="s">
        <v>18</v>
      </c>
      <c r="J87" s="124"/>
      <c r="K87" s="238" t="s">
        <v>19</v>
      </c>
      <c r="L87" s="125" t="s">
        <v>140</v>
      </c>
      <c r="M87" s="14"/>
      <c r="N87" s="14"/>
    </row>
    <row r="88" spans="2:14" ht="31.5" x14ac:dyDescent="0.25">
      <c r="B88" s="85">
        <v>85</v>
      </c>
      <c r="C88" s="157">
        <v>45389</v>
      </c>
      <c r="D88" s="105" t="s">
        <v>96</v>
      </c>
      <c r="E88" s="108" t="s">
        <v>139</v>
      </c>
      <c r="F88" s="166" t="s">
        <v>144</v>
      </c>
      <c r="G88" s="124"/>
      <c r="H88" s="124"/>
      <c r="I88" s="20" t="s">
        <v>18</v>
      </c>
      <c r="J88" s="124"/>
      <c r="K88" s="126" t="s">
        <v>19</v>
      </c>
      <c r="L88" s="125" t="s">
        <v>140</v>
      </c>
      <c r="M88" s="14"/>
      <c r="N88" s="14"/>
    </row>
    <row r="89" spans="2:14" ht="30" x14ac:dyDescent="0.25">
      <c r="B89" s="85">
        <v>86</v>
      </c>
      <c r="C89" s="157">
        <v>45389</v>
      </c>
      <c r="D89" s="105" t="s">
        <v>96</v>
      </c>
      <c r="E89" s="108" t="s">
        <v>139</v>
      </c>
      <c r="F89" s="166" t="s">
        <v>145</v>
      </c>
      <c r="G89" s="124"/>
      <c r="H89" s="124"/>
      <c r="I89" s="20" t="s">
        <v>18</v>
      </c>
      <c r="J89" s="124"/>
      <c r="K89" s="90" t="s">
        <v>22</v>
      </c>
      <c r="L89" s="125" t="s">
        <v>140</v>
      </c>
      <c r="M89" s="14"/>
      <c r="N89" s="14" t="str">
        <f t="shared" ref="N89" ca="1" si="2">DATEDIF(C89, TODAY(), "m") &amp; " months, " &amp; DATEDIF(C89, TODAY(), "md") &amp; " days"</f>
        <v>16 months, 6 days</v>
      </c>
    </row>
    <row r="90" spans="2:14" ht="31.5" x14ac:dyDescent="0.25">
      <c r="B90" s="85">
        <v>87</v>
      </c>
      <c r="C90" s="157">
        <v>45389</v>
      </c>
      <c r="D90" s="105" t="s">
        <v>96</v>
      </c>
      <c r="E90" s="108" t="s">
        <v>139</v>
      </c>
      <c r="F90" s="166" t="s">
        <v>116</v>
      </c>
      <c r="G90" s="124"/>
      <c r="H90" s="124"/>
      <c r="I90" s="20" t="s">
        <v>18</v>
      </c>
      <c r="J90" s="124"/>
      <c r="K90" s="90" t="s">
        <v>22</v>
      </c>
      <c r="L90" s="127" t="s">
        <v>106</v>
      </c>
      <c r="M90" s="14"/>
      <c r="N90" s="14"/>
    </row>
    <row r="91" spans="2:14" ht="30" x14ac:dyDescent="0.25">
      <c r="B91" s="85">
        <v>88</v>
      </c>
      <c r="C91" s="157">
        <v>45389</v>
      </c>
      <c r="D91" s="105" t="s">
        <v>96</v>
      </c>
      <c r="E91" s="108" t="s">
        <v>139</v>
      </c>
      <c r="F91" s="166" t="s">
        <v>119</v>
      </c>
      <c r="G91" s="124"/>
      <c r="H91" s="124"/>
      <c r="I91" s="20" t="s">
        <v>18</v>
      </c>
      <c r="J91" s="124"/>
      <c r="K91" s="126" t="s">
        <v>19</v>
      </c>
      <c r="L91" s="127" t="s">
        <v>140</v>
      </c>
      <c r="M91" s="14"/>
      <c r="N91" s="14"/>
    </row>
    <row r="92" spans="2:14" ht="31.5" x14ac:dyDescent="0.25">
      <c r="B92" s="85">
        <v>89</v>
      </c>
      <c r="C92" s="157">
        <v>45389</v>
      </c>
      <c r="D92" s="105" t="s">
        <v>96</v>
      </c>
      <c r="E92" s="108" t="s">
        <v>139</v>
      </c>
      <c r="F92" s="166" t="s">
        <v>146</v>
      </c>
      <c r="G92" s="124"/>
      <c r="H92" s="124"/>
      <c r="I92" s="20" t="s">
        <v>18</v>
      </c>
      <c r="J92" s="124"/>
      <c r="K92" s="126" t="s">
        <v>19</v>
      </c>
      <c r="L92" s="127" t="s">
        <v>106</v>
      </c>
      <c r="M92" s="14"/>
      <c r="N92" s="14"/>
    </row>
    <row r="93" spans="2:14" ht="31.5" hidden="1" x14ac:dyDescent="0.25">
      <c r="B93" s="85">
        <v>90</v>
      </c>
      <c r="C93" s="157">
        <v>45389</v>
      </c>
      <c r="D93" s="105" t="s">
        <v>96</v>
      </c>
      <c r="E93" s="108" t="s">
        <v>139</v>
      </c>
      <c r="F93" s="166" t="s">
        <v>147</v>
      </c>
      <c r="G93" s="124"/>
      <c r="H93" s="124"/>
      <c r="I93" s="20" t="s">
        <v>18</v>
      </c>
      <c r="J93" s="124"/>
      <c r="K93" s="88" t="s">
        <v>19</v>
      </c>
      <c r="L93" s="127" t="s">
        <v>148</v>
      </c>
      <c r="M93" s="14"/>
      <c r="N93" s="14"/>
    </row>
    <row r="94" spans="2:14" ht="31.5" x14ac:dyDescent="0.25">
      <c r="B94" s="85">
        <v>91</v>
      </c>
      <c r="C94" s="157">
        <v>45389</v>
      </c>
      <c r="D94" s="105" t="s">
        <v>96</v>
      </c>
      <c r="E94" s="108" t="s">
        <v>139</v>
      </c>
      <c r="F94" s="166" t="s">
        <v>149</v>
      </c>
      <c r="G94" s="124"/>
      <c r="H94" s="124"/>
      <c r="I94" s="20" t="s">
        <v>18</v>
      </c>
      <c r="J94" s="124"/>
      <c r="K94" s="90" t="s">
        <v>22</v>
      </c>
      <c r="L94" s="127" t="s">
        <v>106</v>
      </c>
      <c r="M94" s="14"/>
      <c r="N94" s="14"/>
    </row>
    <row r="95" spans="2:14" ht="30" hidden="1" x14ac:dyDescent="0.25">
      <c r="B95" s="85">
        <v>92</v>
      </c>
      <c r="C95" s="157">
        <v>45389</v>
      </c>
      <c r="D95" s="105" t="s">
        <v>96</v>
      </c>
      <c r="E95" s="108" t="s">
        <v>150</v>
      </c>
      <c r="F95" s="166" t="s">
        <v>547</v>
      </c>
      <c r="G95" s="124"/>
      <c r="H95" s="124"/>
      <c r="I95" s="20" t="s">
        <v>18</v>
      </c>
      <c r="J95" s="124"/>
      <c r="K95" s="146" t="s">
        <v>114</v>
      </c>
      <c r="L95" s="147" t="s">
        <v>151</v>
      </c>
      <c r="M95" s="14" t="s">
        <v>152</v>
      </c>
      <c r="N95" s="14"/>
    </row>
    <row r="96" spans="2:14" ht="31.5" hidden="1" x14ac:dyDescent="0.25">
      <c r="B96" s="85">
        <v>93</v>
      </c>
      <c r="C96" s="157">
        <v>45389</v>
      </c>
      <c r="D96" s="105" t="s">
        <v>96</v>
      </c>
      <c r="E96" s="108" t="s">
        <v>150</v>
      </c>
      <c r="F96" s="166" t="s">
        <v>153</v>
      </c>
      <c r="G96" s="124"/>
      <c r="H96" s="124"/>
      <c r="I96" s="20" t="s">
        <v>18</v>
      </c>
      <c r="J96" s="124"/>
      <c r="K96" s="146" t="s">
        <v>114</v>
      </c>
      <c r="L96" s="147" t="s">
        <v>151</v>
      </c>
      <c r="M96" s="14" t="s">
        <v>152</v>
      </c>
      <c r="N96" s="14"/>
    </row>
    <row r="97" spans="2:14" ht="30" hidden="1" x14ac:dyDescent="0.25">
      <c r="B97" s="85">
        <v>94</v>
      </c>
      <c r="C97" s="157">
        <v>45389</v>
      </c>
      <c r="D97" s="105" t="s">
        <v>96</v>
      </c>
      <c r="E97" s="108" t="s">
        <v>150</v>
      </c>
      <c r="F97" s="166" t="s">
        <v>154</v>
      </c>
      <c r="G97" s="124"/>
      <c r="H97" s="124"/>
      <c r="I97" s="20" t="s">
        <v>18</v>
      </c>
      <c r="J97" s="124"/>
      <c r="K97" s="146" t="s">
        <v>114</v>
      </c>
      <c r="L97" s="147" t="s">
        <v>151</v>
      </c>
      <c r="M97" s="14" t="s">
        <v>152</v>
      </c>
      <c r="N97" s="14"/>
    </row>
    <row r="98" spans="2:14" ht="31.5" hidden="1" x14ac:dyDescent="0.25">
      <c r="B98" s="85">
        <v>95</v>
      </c>
      <c r="C98" s="157">
        <v>45389</v>
      </c>
      <c r="D98" s="105" t="s">
        <v>96</v>
      </c>
      <c r="E98" s="108" t="s">
        <v>150</v>
      </c>
      <c r="F98" s="166" t="s">
        <v>155</v>
      </c>
      <c r="G98" s="124"/>
      <c r="H98" s="124"/>
      <c r="I98" s="20" t="s">
        <v>18</v>
      </c>
      <c r="J98" s="124"/>
      <c r="K98" s="146" t="s">
        <v>114</v>
      </c>
      <c r="L98" s="147" t="s">
        <v>151</v>
      </c>
      <c r="M98" s="14" t="s">
        <v>152</v>
      </c>
      <c r="N98" s="14"/>
    </row>
    <row r="99" spans="2:14" ht="78.75" hidden="1" x14ac:dyDescent="0.25">
      <c r="B99" s="85">
        <v>96</v>
      </c>
      <c r="C99" s="157">
        <v>45389</v>
      </c>
      <c r="D99" s="105" t="s">
        <v>96</v>
      </c>
      <c r="E99" s="108" t="s">
        <v>150</v>
      </c>
      <c r="F99" s="166" t="s">
        <v>156</v>
      </c>
      <c r="G99" s="124"/>
      <c r="H99" s="124"/>
      <c r="I99" s="20" t="s">
        <v>18</v>
      </c>
      <c r="J99" s="124"/>
      <c r="K99" s="146" t="s">
        <v>114</v>
      </c>
      <c r="L99" s="147" t="s">
        <v>151</v>
      </c>
      <c r="M99" s="14" t="s">
        <v>152</v>
      </c>
      <c r="N99" s="14"/>
    </row>
    <row r="100" spans="2:14" ht="63" hidden="1" x14ac:dyDescent="0.25">
      <c r="B100" s="85">
        <v>97</v>
      </c>
      <c r="C100" s="157">
        <v>45389</v>
      </c>
      <c r="D100" s="105" t="s">
        <v>96</v>
      </c>
      <c r="E100" s="108" t="s">
        <v>150</v>
      </c>
      <c r="F100" s="166" t="s">
        <v>157</v>
      </c>
      <c r="G100" s="124"/>
      <c r="H100" s="124"/>
      <c r="I100" s="20" t="s">
        <v>18</v>
      </c>
      <c r="J100" s="124"/>
      <c r="K100" s="146" t="s">
        <v>114</v>
      </c>
      <c r="L100" s="147" t="s">
        <v>151</v>
      </c>
      <c r="M100" s="14" t="s">
        <v>152</v>
      </c>
      <c r="N100" s="14"/>
    </row>
    <row r="101" spans="2:14" ht="30" hidden="1" x14ac:dyDescent="0.25">
      <c r="B101" s="85">
        <v>98</v>
      </c>
      <c r="C101" s="157">
        <v>45389</v>
      </c>
      <c r="D101" s="105" t="s">
        <v>96</v>
      </c>
      <c r="E101" s="108" t="s">
        <v>150</v>
      </c>
      <c r="F101" s="166" t="s">
        <v>158</v>
      </c>
      <c r="G101" s="124"/>
      <c r="H101" s="124"/>
      <c r="I101" s="20" t="s">
        <v>18</v>
      </c>
      <c r="J101" s="124"/>
      <c r="K101" s="146" t="s">
        <v>114</v>
      </c>
      <c r="L101" s="147" t="s">
        <v>151</v>
      </c>
      <c r="M101" s="14" t="s">
        <v>152</v>
      </c>
      <c r="N101" s="14"/>
    </row>
    <row r="102" spans="2:14" ht="31.5" hidden="1" x14ac:dyDescent="0.25">
      <c r="B102" s="85">
        <v>99</v>
      </c>
      <c r="C102" s="157">
        <v>45389</v>
      </c>
      <c r="D102" s="105" t="s">
        <v>96</v>
      </c>
      <c r="E102" s="108" t="s">
        <v>150</v>
      </c>
      <c r="F102" s="166" t="s">
        <v>159</v>
      </c>
      <c r="G102" s="124"/>
      <c r="H102" s="124"/>
      <c r="I102" s="20" t="s">
        <v>18</v>
      </c>
      <c r="J102" s="124"/>
      <c r="K102" s="146" t="s">
        <v>114</v>
      </c>
      <c r="L102" s="147" t="s">
        <v>151</v>
      </c>
      <c r="M102" s="14" t="s">
        <v>152</v>
      </c>
      <c r="N102" s="14"/>
    </row>
    <row r="103" spans="2:14" ht="31.5" hidden="1" x14ac:dyDescent="0.25">
      <c r="B103" s="85">
        <v>100</v>
      </c>
      <c r="C103" s="157">
        <v>45389</v>
      </c>
      <c r="D103" s="105" t="s">
        <v>96</v>
      </c>
      <c r="E103" s="108" t="s">
        <v>150</v>
      </c>
      <c r="F103" s="166" t="s">
        <v>160</v>
      </c>
      <c r="G103" s="124"/>
      <c r="H103" s="124"/>
      <c r="I103" s="20" t="s">
        <v>18</v>
      </c>
      <c r="J103" s="124"/>
      <c r="K103" s="146" t="s">
        <v>114</v>
      </c>
      <c r="L103" s="147" t="s">
        <v>151</v>
      </c>
      <c r="M103" s="14" t="s">
        <v>152</v>
      </c>
      <c r="N103" s="14"/>
    </row>
    <row r="104" spans="2:14" ht="31.5" hidden="1" x14ac:dyDescent="0.25">
      <c r="B104" s="85">
        <v>101</v>
      </c>
      <c r="C104" s="157">
        <v>45389</v>
      </c>
      <c r="D104" s="105" t="s">
        <v>96</v>
      </c>
      <c r="E104" s="108" t="s">
        <v>161</v>
      </c>
      <c r="F104" s="166" t="s">
        <v>162</v>
      </c>
      <c r="G104" s="124"/>
      <c r="H104" s="124"/>
      <c r="I104" s="20" t="s">
        <v>18</v>
      </c>
      <c r="J104" s="124"/>
      <c r="K104" s="146" t="s">
        <v>114</v>
      </c>
      <c r="L104" s="147" t="s">
        <v>151</v>
      </c>
      <c r="M104" s="14" t="s">
        <v>152</v>
      </c>
      <c r="N104" s="14"/>
    </row>
    <row r="105" spans="2:14" ht="31.5" hidden="1" x14ac:dyDescent="0.25">
      <c r="B105" s="85">
        <v>102</v>
      </c>
      <c r="C105" s="157">
        <v>45389</v>
      </c>
      <c r="D105" s="105" t="s">
        <v>96</v>
      </c>
      <c r="E105" s="108" t="s">
        <v>161</v>
      </c>
      <c r="F105" s="166" t="s">
        <v>163</v>
      </c>
      <c r="G105" s="124"/>
      <c r="H105" s="124"/>
      <c r="I105" s="20" t="s">
        <v>18</v>
      </c>
      <c r="J105" s="124"/>
      <c r="K105" s="146" t="s">
        <v>114</v>
      </c>
      <c r="L105" s="147" t="s">
        <v>151</v>
      </c>
      <c r="M105" s="14" t="s">
        <v>152</v>
      </c>
      <c r="N105" s="14"/>
    </row>
    <row r="106" spans="2:14" ht="78.75" hidden="1" x14ac:dyDescent="0.25">
      <c r="B106" s="85">
        <v>103</v>
      </c>
      <c r="C106" s="157">
        <v>45389</v>
      </c>
      <c r="D106" s="105" t="s">
        <v>96</v>
      </c>
      <c r="E106" s="108" t="s">
        <v>161</v>
      </c>
      <c r="F106" s="166" t="s">
        <v>164</v>
      </c>
      <c r="G106" s="124"/>
      <c r="H106" s="124"/>
      <c r="I106" s="20" t="s">
        <v>18</v>
      </c>
      <c r="J106" s="124"/>
      <c r="K106" s="146" t="s">
        <v>114</v>
      </c>
      <c r="L106" s="147" t="s">
        <v>151</v>
      </c>
      <c r="M106" s="14" t="s">
        <v>152</v>
      </c>
      <c r="N106" s="14"/>
    </row>
    <row r="107" spans="2:14" ht="31.5" hidden="1" x14ac:dyDescent="0.25">
      <c r="B107" s="85">
        <v>104</v>
      </c>
      <c r="C107" s="157">
        <v>45389</v>
      </c>
      <c r="D107" s="105" t="s">
        <v>96</v>
      </c>
      <c r="E107" s="108" t="s">
        <v>161</v>
      </c>
      <c r="F107" s="166" t="s">
        <v>160</v>
      </c>
      <c r="G107" s="124"/>
      <c r="H107" s="124"/>
      <c r="I107" s="20" t="s">
        <v>18</v>
      </c>
      <c r="J107" s="124"/>
      <c r="K107" s="146" t="s">
        <v>114</v>
      </c>
      <c r="L107" s="147" t="s">
        <v>151</v>
      </c>
      <c r="M107" s="14" t="s">
        <v>152</v>
      </c>
      <c r="N107" s="14"/>
    </row>
    <row r="108" spans="2:14" ht="30" hidden="1" x14ac:dyDescent="0.25">
      <c r="B108" s="85">
        <v>105</v>
      </c>
      <c r="C108" s="156">
        <v>45393</v>
      </c>
      <c r="D108" s="156"/>
      <c r="E108" s="45" t="s">
        <v>34</v>
      </c>
      <c r="F108" s="176" t="s">
        <v>165</v>
      </c>
      <c r="G108" s="80"/>
      <c r="H108" s="80"/>
      <c r="I108" s="80"/>
      <c r="J108" s="19" t="s">
        <v>18</v>
      </c>
      <c r="K108" s="101" t="s">
        <v>29</v>
      </c>
      <c r="L108" s="80" t="s">
        <v>94</v>
      </c>
      <c r="M108" s="14"/>
      <c r="N108" s="14"/>
    </row>
    <row r="109" spans="2:14" ht="30" hidden="1" x14ac:dyDescent="0.25">
      <c r="B109" s="85">
        <v>106</v>
      </c>
      <c r="C109" s="100">
        <v>45393</v>
      </c>
      <c r="D109" s="100"/>
      <c r="E109" s="45" t="s">
        <v>34</v>
      </c>
      <c r="F109" s="176" t="s">
        <v>166</v>
      </c>
      <c r="G109" s="80"/>
      <c r="H109" s="80"/>
      <c r="I109" s="80"/>
      <c r="J109" s="19" t="s">
        <v>18</v>
      </c>
      <c r="K109" s="101" t="s">
        <v>29</v>
      </c>
      <c r="L109" s="80" t="s">
        <v>94</v>
      </c>
      <c r="M109" s="14"/>
      <c r="N109" s="14"/>
    </row>
    <row r="110" spans="2:14" ht="30" hidden="1" x14ac:dyDescent="0.25">
      <c r="B110" s="85">
        <v>107</v>
      </c>
      <c r="C110" s="100">
        <v>45393</v>
      </c>
      <c r="D110" s="100"/>
      <c r="E110" s="45" t="s">
        <v>34</v>
      </c>
      <c r="F110" s="176" t="s">
        <v>167</v>
      </c>
      <c r="G110" s="80"/>
      <c r="H110" s="80"/>
      <c r="I110" s="80"/>
      <c r="J110" s="19" t="s">
        <v>18</v>
      </c>
      <c r="K110" s="101" t="s">
        <v>29</v>
      </c>
      <c r="L110" s="80" t="s">
        <v>94</v>
      </c>
      <c r="M110" s="14"/>
      <c r="N110" s="14"/>
    </row>
    <row r="111" spans="2:14" ht="30" hidden="1" x14ac:dyDescent="0.25">
      <c r="B111" s="85">
        <v>108</v>
      </c>
      <c r="C111" s="100">
        <v>45396</v>
      </c>
      <c r="D111" s="100"/>
      <c r="E111" s="19" t="s">
        <v>77</v>
      </c>
      <c r="F111" s="174" t="s">
        <v>168</v>
      </c>
      <c r="G111" s="19" t="s">
        <v>18</v>
      </c>
      <c r="H111" s="80"/>
      <c r="I111" s="80"/>
      <c r="J111" s="19" t="s">
        <v>18</v>
      </c>
      <c r="K111" s="99" t="s">
        <v>19</v>
      </c>
      <c r="L111" s="45" t="s">
        <v>169</v>
      </c>
      <c r="M111" s="14"/>
      <c r="N111" s="14"/>
    </row>
    <row r="112" spans="2:14" ht="47.25" hidden="1" x14ac:dyDescent="0.25">
      <c r="B112" s="85">
        <v>109</v>
      </c>
      <c r="C112" s="104" t="s">
        <v>170</v>
      </c>
      <c r="D112" s="104"/>
      <c r="E112" s="80" t="s">
        <v>16</v>
      </c>
      <c r="F112" s="174" t="s">
        <v>171</v>
      </c>
      <c r="G112" s="19" t="s">
        <v>18</v>
      </c>
      <c r="H112" s="19" t="s">
        <v>18</v>
      </c>
      <c r="I112" s="80"/>
      <c r="J112" s="19" t="s">
        <v>18</v>
      </c>
      <c r="K112" s="88" t="s">
        <v>19</v>
      </c>
      <c r="L112" s="127" t="s">
        <v>172</v>
      </c>
      <c r="M112" s="14"/>
      <c r="N112" s="14"/>
    </row>
    <row r="113" spans="2:14" ht="30" hidden="1" x14ac:dyDescent="0.25">
      <c r="B113" s="85">
        <v>110</v>
      </c>
      <c r="C113" s="102" t="s">
        <v>170</v>
      </c>
      <c r="D113" s="102"/>
      <c r="E113" s="45" t="s">
        <v>34</v>
      </c>
      <c r="F113" s="174" t="s">
        <v>173</v>
      </c>
      <c r="G113" s="80"/>
      <c r="H113" s="80"/>
      <c r="I113" s="80"/>
      <c r="J113" s="19" t="s">
        <v>18</v>
      </c>
      <c r="K113" s="101" t="s">
        <v>29</v>
      </c>
      <c r="L113" s="80" t="s">
        <v>94</v>
      </c>
      <c r="M113" s="14"/>
      <c r="N113" s="14"/>
    </row>
    <row r="114" spans="2:14" ht="30" hidden="1" x14ac:dyDescent="0.25">
      <c r="B114" s="85">
        <v>111</v>
      </c>
      <c r="C114" s="100">
        <v>45401</v>
      </c>
      <c r="D114" s="100"/>
      <c r="E114" s="197" t="s">
        <v>34</v>
      </c>
      <c r="F114" s="176" t="s">
        <v>174</v>
      </c>
      <c r="G114" s="80"/>
      <c r="H114" s="80"/>
      <c r="I114" s="80"/>
      <c r="J114" s="19" t="s">
        <v>18</v>
      </c>
      <c r="K114" s="101" t="s">
        <v>29</v>
      </c>
      <c r="L114" s="80" t="s">
        <v>94</v>
      </c>
      <c r="M114" s="14"/>
      <c r="N114" s="14"/>
    </row>
    <row r="115" spans="2:14" ht="31.5" hidden="1" x14ac:dyDescent="0.25">
      <c r="B115" s="85">
        <v>112</v>
      </c>
      <c r="C115" s="100">
        <v>45401</v>
      </c>
      <c r="D115" s="160"/>
      <c r="E115" s="149" t="s">
        <v>175</v>
      </c>
      <c r="F115" s="198" t="s">
        <v>176</v>
      </c>
      <c r="G115" s="80"/>
      <c r="H115" s="80"/>
      <c r="I115" s="20" t="s">
        <v>18</v>
      </c>
      <c r="J115" s="19"/>
      <c r="K115" s="126" t="s">
        <v>19</v>
      </c>
      <c r="L115" s="80" t="s">
        <v>94</v>
      </c>
      <c r="M115" s="14"/>
      <c r="N115" s="14"/>
    </row>
    <row r="116" spans="2:14" ht="30" hidden="1" x14ac:dyDescent="0.25">
      <c r="B116" s="85">
        <v>113</v>
      </c>
      <c r="C116" s="100">
        <v>45401</v>
      </c>
      <c r="D116" s="160"/>
      <c r="E116" s="149" t="s">
        <v>175</v>
      </c>
      <c r="F116" s="198" t="s">
        <v>177</v>
      </c>
      <c r="G116" s="80"/>
      <c r="H116" s="80"/>
      <c r="I116" s="20" t="s">
        <v>18</v>
      </c>
      <c r="J116" s="19"/>
      <c r="K116" s="126" t="s">
        <v>19</v>
      </c>
      <c r="L116" s="80" t="s">
        <v>94</v>
      </c>
      <c r="M116" s="14"/>
      <c r="N116" s="14"/>
    </row>
    <row r="117" spans="2:14" ht="30" hidden="1" x14ac:dyDescent="0.25">
      <c r="B117" s="85">
        <v>114</v>
      </c>
      <c r="C117" s="100">
        <v>45401</v>
      </c>
      <c r="D117" s="160"/>
      <c r="E117" s="149" t="s">
        <v>175</v>
      </c>
      <c r="F117" s="198" t="s">
        <v>178</v>
      </c>
      <c r="G117" s="80"/>
      <c r="H117" s="80"/>
      <c r="I117" s="20" t="s">
        <v>18</v>
      </c>
      <c r="J117" s="19"/>
      <c r="K117" s="126" t="s">
        <v>19</v>
      </c>
      <c r="L117" s="80" t="s">
        <v>94</v>
      </c>
      <c r="M117" s="14"/>
      <c r="N117" s="14"/>
    </row>
    <row r="118" spans="2:14" ht="31.5" hidden="1" x14ac:dyDescent="0.25">
      <c r="B118" s="85">
        <v>115</v>
      </c>
      <c r="C118" s="100">
        <v>45401</v>
      </c>
      <c r="D118" s="160"/>
      <c r="E118" s="149" t="s">
        <v>175</v>
      </c>
      <c r="F118" s="198" t="s">
        <v>179</v>
      </c>
      <c r="G118" s="80"/>
      <c r="H118" s="80"/>
      <c r="I118" s="20" t="s">
        <v>18</v>
      </c>
      <c r="J118" s="19"/>
      <c r="K118" s="126" t="s">
        <v>19</v>
      </c>
      <c r="L118" s="80" t="s">
        <v>94</v>
      </c>
      <c r="M118" s="14"/>
      <c r="N118" s="14"/>
    </row>
    <row r="119" spans="2:14" ht="30" hidden="1" x14ac:dyDescent="0.25">
      <c r="B119" s="85">
        <v>116</v>
      </c>
      <c r="C119" s="100">
        <v>45401</v>
      </c>
      <c r="D119" s="160"/>
      <c r="E119" s="149" t="s">
        <v>175</v>
      </c>
      <c r="F119" s="198" t="s">
        <v>180</v>
      </c>
      <c r="G119" s="80"/>
      <c r="H119" s="80"/>
      <c r="I119" s="20" t="s">
        <v>18</v>
      </c>
      <c r="J119" s="19"/>
      <c r="K119" s="126" t="s">
        <v>19</v>
      </c>
      <c r="L119" s="80" t="s">
        <v>94</v>
      </c>
      <c r="M119" s="14" t="s">
        <v>1097</v>
      </c>
      <c r="N119" s="14" t="str">
        <f ca="1">DATEDIF(C119, TODAY(), "m") &amp; " months, " &amp; DATEDIF(C119, TODAY(), "md") &amp; " days"</f>
        <v>15 months, 25 days</v>
      </c>
    </row>
    <row r="120" spans="2:14" ht="31.5" hidden="1" x14ac:dyDescent="0.25">
      <c r="B120" s="85">
        <v>117</v>
      </c>
      <c r="C120" s="100">
        <v>45407</v>
      </c>
      <c r="D120" s="160"/>
      <c r="E120" s="108" t="s">
        <v>77</v>
      </c>
      <c r="F120" s="166" t="s">
        <v>181</v>
      </c>
      <c r="G120" s="124" t="s">
        <v>18</v>
      </c>
      <c r="H120" s="124"/>
      <c r="I120" s="20"/>
      <c r="J120" s="124"/>
      <c r="K120" s="88" t="s">
        <v>19</v>
      </c>
      <c r="L120" s="127" t="s">
        <v>182</v>
      </c>
      <c r="M120" s="14"/>
      <c r="N120" s="14"/>
    </row>
    <row r="121" spans="2:14" ht="45" hidden="1" x14ac:dyDescent="0.25">
      <c r="B121" s="85">
        <v>118</v>
      </c>
      <c r="C121" s="100">
        <v>45411</v>
      </c>
      <c r="D121" s="160"/>
      <c r="E121" s="108" t="s">
        <v>77</v>
      </c>
      <c r="F121" s="166" t="s">
        <v>183</v>
      </c>
      <c r="G121" s="124" t="s">
        <v>18</v>
      </c>
      <c r="H121" s="124"/>
      <c r="J121" s="124" t="s">
        <v>18</v>
      </c>
      <c r="K121" s="234" t="s">
        <v>19</v>
      </c>
      <c r="L121" s="127" t="s">
        <v>182</v>
      </c>
      <c r="M121" s="14" t="s">
        <v>184</v>
      </c>
      <c r="N121" s="14"/>
    </row>
    <row r="122" spans="2:14" ht="31.5" x14ac:dyDescent="0.25">
      <c r="B122" s="85">
        <v>119</v>
      </c>
      <c r="C122" s="100">
        <v>45415</v>
      </c>
      <c r="D122" s="160"/>
      <c r="E122" s="108" t="s">
        <v>185</v>
      </c>
      <c r="F122" s="166" t="s">
        <v>186</v>
      </c>
      <c r="G122" s="124"/>
      <c r="H122" s="124"/>
      <c r="I122" s="20" t="s">
        <v>18</v>
      </c>
      <c r="J122" s="124"/>
      <c r="K122" s="101" t="s">
        <v>22</v>
      </c>
      <c r="L122" s="127" t="s">
        <v>140</v>
      </c>
      <c r="M122" s="14"/>
      <c r="N122" s="14"/>
    </row>
    <row r="123" spans="2:14" ht="31.5" hidden="1" x14ac:dyDescent="0.25">
      <c r="B123" s="85">
        <v>120</v>
      </c>
      <c r="C123" s="100">
        <v>45418</v>
      </c>
      <c r="D123" s="160"/>
      <c r="E123" s="108" t="s">
        <v>187</v>
      </c>
      <c r="F123" s="166" t="s">
        <v>188</v>
      </c>
      <c r="G123" s="124"/>
      <c r="H123" s="124"/>
      <c r="I123" s="20" t="s">
        <v>18</v>
      </c>
      <c r="J123" s="124"/>
      <c r="K123" s="88" t="s">
        <v>19</v>
      </c>
      <c r="L123" s="127" t="s">
        <v>122</v>
      </c>
      <c r="M123" s="14"/>
      <c r="N123" s="14"/>
    </row>
    <row r="124" spans="2:14" ht="31.5" hidden="1" x14ac:dyDescent="0.25">
      <c r="B124" s="85">
        <v>121</v>
      </c>
      <c r="C124" s="100">
        <v>45418</v>
      </c>
      <c r="D124" s="160"/>
      <c r="E124" s="108" t="s">
        <v>187</v>
      </c>
      <c r="F124" s="166" t="s">
        <v>189</v>
      </c>
      <c r="G124" s="124"/>
      <c r="H124" s="124"/>
      <c r="I124" s="20" t="s">
        <v>18</v>
      </c>
      <c r="J124" s="124"/>
      <c r="K124" s="88" t="s">
        <v>19</v>
      </c>
      <c r="L124" s="127" t="s">
        <v>122</v>
      </c>
      <c r="M124" s="14"/>
      <c r="N124" s="14"/>
    </row>
    <row r="125" spans="2:14" ht="31.5" hidden="1" x14ac:dyDescent="0.25">
      <c r="B125" s="85">
        <v>122</v>
      </c>
      <c r="C125" s="100">
        <v>45418</v>
      </c>
      <c r="D125" s="160"/>
      <c r="E125" s="108" t="s">
        <v>187</v>
      </c>
      <c r="F125" s="166" t="s">
        <v>190</v>
      </c>
      <c r="G125" s="124"/>
      <c r="H125" s="124"/>
      <c r="I125" s="20" t="s">
        <v>18</v>
      </c>
      <c r="J125" s="124"/>
      <c r="K125" s="88" t="s">
        <v>19</v>
      </c>
      <c r="L125" s="127" t="s">
        <v>122</v>
      </c>
      <c r="M125" s="14"/>
      <c r="N125" s="14"/>
    </row>
    <row r="126" spans="2:14" ht="45" hidden="1" x14ac:dyDescent="0.25">
      <c r="B126" s="85">
        <v>123</v>
      </c>
      <c r="C126" s="100">
        <v>45420</v>
      </c>
      <c r="D126" s="160"/>
      <c r="E126" s="108" t="s">
        <v>77</v>
      </c>
      <c r="F126" s="166" t="s">
        <v>191</v>
      </c>
      <c r="G126" s="124" t="s">
        <v>18</v>
      </c>
      <c r="H126" s="124"/>
      <c r="I126" s="20"/>
      <c r="J126" s="124"/>
      <c r="K126" s="234" t="s">
        <v>19</v>
      </c>
      <c r="L126" s="127" t="s">
        <v>182</v>
      </c>
      <c r="M126" s="14" t="s">
        <v>184</v>
      </c>
      <c r="N126" s="14" t="str">
        <f t="shared" ref="N126" ca="1" si="3">DATEDIF(C126, TODAY(), "m") &amp; " months, " &amp; DATEDIF(C126, TODAY(), "md") &amp; " days"</f>
        <v>15 months, 5 days</v>
      </c>
    </row>
    <row r="127" spans="2:14" ht="15.75" hidden="1" x14ac:dyDescent="0.25">
      <c r="B127" s="85">
        <v>124</v>
      </c>
      <c r="C127" s="100">
        <v>45425</v>
      </c>
      <c r="D127" s="160"/>
      <c r="E127" s="108" t="s">
        <v>16</v>
      </c>
      <c r="F127" s="166" t="s">
        <v>192</v>
      </c>
      <c r="G127" s="124"/>
      <c r="H127" s="124"/>
      <c r="I127" s="20" t="s">
        <v>18</v>
      </c>
      <c r="J127" s="124"/>
      <c r="K127" s="126" t="s">
        <v>19</v>
      </c>
      <c r="L127" s="127" t="s">
        <v>20</v>
      </c>
      <c r="M127" s="14"/>
      <c r="N127" s="14"/>
    </row>
    <row r="128" spans="2:14" ht="47.25" hidden="1" x14ac:dyDescent="0.25">
      <c r="B128" s="85">
        <v>125</v>
      </c>
      <c r="C128" s="100">
        <v>45425</v>
      </c>
      <c r="D128" s="160"/>
      <c r="E128" s="108" t="s">
        <v>16</v>
      </c>
      <c r="F128" s="166" t="s">
        <v>193</v>
      </c>
      <c r="G128" s="124"/>
      <c r="H128" s="124"/>
      <c r="I128" s="20" t="s">
        <v>18</v>
      </c>
      <c r="J128" s="124"/>
      <c r="K128" s="126" t="s">
        <v>19</v>
      </c>
      <c r="L128" s="127" t="s">
        <v>20</v>
      </c>
      <c r="M128" s="14"/>
      <c r="N128" s="14"/>
    </row>
    <row r="129" spans="2:14" ht="78.75" hidden="1" x14ac:dyDescent="0.25">
      <c r="B129" s="85">
        <v>126</v>
      </c>
      <c r="C129" s="100">
        <v>45427</v>
      </c>
      <c r="D129" s="160"/>
      <c r="E129" s="108" t="s">
        <v>194</v>
      </c>
      <c r="F129" s="166" t="s">
        <v>195</v>
      </c>
      <c r="G129" s="124"/>
      <c r="H129" s="124"/>
      <c r="I129" s="20" t="s">
        <v>18</v>
      </c>
      <c r="J129" s="124"/>
      <c r="K129" s="126" t="s">
        <v>19</v>
      </c>
      <c r="L129" s="127" t="s">
        <v>196</v>
      </c>
      <c r="M129" s="14"/>
      <c r="N129" s="14" t="str">
        <f ca="1">DATEDIF(C129, TODAY(), "m") &amp; " months, " &amp; DATEDIF(C129, TODAY(), "md") &amp; " days"</f>
        <v>14 months, 29 days</v>
      </c>
    </row>
    <row r="130" spans="2:14" ht="47.25" hidden="1" x14ac:dyDescent="0.25">
      <c r="B130" s="85">
        <v>127</v>
      </c>
      <c r="C130" s="100">
        <v>45427</v>
      </c>
      <c r="D130" s="160"/>
      <c r="E130" s="108" t="s">
        <v>194</v>
      </c>
      <c r="F130" s="166" t="s">
        <v>197</v>
      </c>
      <c r="G130" s="124"/>
      <c r="H130" s="124"/>
      <c r="I130" s="20" t="s">
        <v>18</v>
      </c>
      <c r="J130" s="124"/>
      <c r="K130" s="126" t="s">
        <v>19</v>
      </c>
      <c r="L130" s="127" t="s">
        <v>196</v>
      </c>
      <c r="M130" s="14"/>
      <c r="N130" s="14" t="str">
        <f t="shared" ref="N130" ca="1" si="4">DATEDIF(C130, TODAY(), "m") &amp; " months, " &amp; DATEDIF(C130, TODAY(), "md") &amp; " days"</f>
        <v>14 months, 29 days</v>
      </c>
    </row>
    <row r="131" spans="2:14" ht="45" hidden="1" x14ac:dyDescent="0.25">
      <c r="B131" s="85">
        <v>128</v>
      </c>
      <c r="C131" s="100">
        <v>45428</v>
      </c>
      <c r="D131" s="100"/>
      <c r="E131" s="80" t="s">
        <v>16</v>
      </c>
      <c r="F131" s="166" t="s">
        <v>198</v>
      </c>
      <c r="G131" s="124" t="s">
        <v>18</v>
      </c>
      <c r="H131" s="124"/>
      <c r="I131" s="20"/>
      <c r="J131" s="124"/>
      <c r="K131" s="146"/>
      <c r="L131" s="147" t="s">
        <v>151</v>
      </c>
      <c r="M131" s="14" t="s">
        <v>199</v>
      </c>
      <c r="N131" s="14"/>
    </row>
    <row r="132" spans="2:14" ht="61.5" hidden="1" customHeight="1" x14ac:dyDescent="0.25">
      <c r="B132" s="85">
        <v>129</v>
      </c>
      <c r="C132" s="100">
        <v>45435</v>
      </c>
      <c r="D132" s="100"/>
      <c r="E132" s="45" t="s">
        <v>200</v>
      </c>
      <c r="F132" s="166" t="s">
        <v>201</v>
      </c>
      <c r="G132" s="124" t="s">
        <v>18</v>
      </c>
      <c r="H132" s="124"/>
      <c r="I132" s="20"/>
      <c r="J132" s="124"/>
      <c r="K132" s="126" t="s">
        <v>19</v>
      </c>
      <c r="L132" s="127" t="s">
        <v>202</v>
      </c>
      <c r="M132" s="173" t="s">
        <v>203</v>
      </c>
      <c r="N132" s="14"/>
    </row>
    <row r="133" spans="2:14" ht="31.5" hidden="1" x14ac:dyDescent="0.25">
      <c r="B133" s="85">
        <v>130</v>
      </c>
      <c r="C133" s="100">
        <v>45439</v>
      </c>
      <c r="D133" s="100"/>
      <c r="E133" s="45" t="s">
        <v>16</v>
      </c>
      <c r="F133" s="166" t="s">
        <v>204</v>
      </c>
      <c r="G133" s="124"/>
      <c r="H133" s="124"/>
      <c r="I133" s="20" t="s">
        <v>18</v>
      </c>
      <c r="J133" s="124"/>
      <c r="K133" s="126" t="s">
        <v>19</v>
      </c>
      <c r="L133" s="127" t="s">
        <v>205</v>
      </c>
      <c r="M133" s="14"/>
      <c r="N133" s="14"/>
    </row>
    <row r="134" spans="2:14" ht="47.25" hidden="1" x14ac:dyDescent="0.25">
      <c r="B134" s="85">
        <v>131</v>
      </c>
      <c r="C134" s="100">
        <v>45439</v>
      </c>
      <c r="D134" s="100"/>
      <c r="E134" s="45" t="s">
        <v>16</v>
      </c>
      <c r="F134" s="166" t="s">
        <v>206</v>
      </c>
      <c r="G134" s="124"/>
      <c r="H134" s="124"/>
      <c r="I134" s="20" t="s">
        <v>18</v>
      </c>
      <c r="J134" s="124"/>
      <c r="K134" s="126" t="s">
        <v>19</v>
      </c>
      <c r="L134" s="127" t="s">
        <v>207</v>
      </c>
      <c r="M134" s="14"/>
      <c r="N134" s="14"/>
    </row>
    <row r="135" spans="2:14" ht="31.5" hidden="1" x14ac:dyDescent="0.25">
      <c r="B135" s="85">
        <v>132</v>
      </c>
      <c r="C135" s="100">
        <v>45442</v>
      </c>
      <c r="D135" s="100"/>
      <c r="E135" s="45" t="s">
        <v>16</v>
      </c>
      <c r="F135" s="166" t="s">
        <v>208</v>
      </c>
      <c r="G135" s="124"/>
      <c r="H135" s="124"/>
      <c r="I135" s="20" t="s">
        <v>18</v>
      </c>
      <c r="J135" s="124"/>
      <c r="K135" s="126" t="s">
        <v>19</v>
      </c>
      <c r="L135" s="127" t="s">
        <v>209</v>
      </c>
      <c r="M135" s="14"/>
      <c r="N135" s="14"/>
    </row>
    <row r="136" spans="2:14" ht="47.25" hidden="1" x14ac:dyDescent="0.25">
      <c r="B136" s="85">
        <v>133</v>
      </c>
      <c r="C136" s="100">
        <v>45442</v>
      </c>
      <c r="D136" s="100"/>
      <c r="E136" s="45" t="s">
        <v>16</v>
      </c>
      <c r="F136" s="166" t="s">
        <v>210</v>
      </c>
      <c r="G136" s="124"/>
      <c r="H136" s="124"/>
      <c r="I136" s="20" t="s">
        <v>18</v>
      </c>
      <c r="J136" s="124"/>
      <c r="K136" s="126" t="s">
        <v>19</v>
      </c>
      <c r="L136" s="127" t="s">
        <v>211</v>
      </c>
      <c r="M136" s="14"/>
      <c r="N136" s="14"/>
    </row>
    <row r="137" spans="2:14" ht="31.5" hidden="1" x14ac:dyDescent="0.25">
      <c r="B137" s="85">
        <v>134</v>
      </c>
      <c r="C137" s="100">
        <v>45443</v>
      </c>
      <c r="D137" s="100"/>
      <c r="E137" s="45" t="s">
        <v>34</v>
      </c>
      <c r="F137" s="166" t="s">
        <v>212</v>
      </c>
      <c r="G137" s="20"/>
      <c r="H137" s="127"/>
      <c r="I137" s="20"/>
      <c r="J137" s="20" t="s">
        <v>18</v>
      </c>
      <c r="K137" s="101" t="s">
        <v>29</v>
      </c>
      <c r="L137" s="127" t="s">
        <v>20</v>
      </c>
      <c r="M137" s="14"/>
      <c r="N137" s="14"/>
    </row>
    <row r="138" spans="2:14" ht="56.25" hidden="1" x14ac:dyDescent="0.25">
      <c r="B138" s="85">
        <v>135</v>
      </c>
      <c r="C138" s="155">
        <v>45445</v>
      </c>
      <c r="D138" s="155"/>
      <c r="E138" s="45" t="s">
        <v>213</v>
      </c>
      <c r="F138" s="189" t="s">
        <v>214</v>
      </c>
      <c r="G138" s="20" t="s">
        <v>18</v>
      </c>
      <c r="H138" s="127"/>
      <c r="I138" s="20"/>
      <c r="J138" s="127"/>
      <c r="K138" s="234" t="s">
        <v>19</v>
      </c>
      <c r="L138" s="127" t="s">
        <v>215</v>
      </c>
      <c r="M138" s="14" t="s">
        <v>184</v>
      </c>
      <c r="N138" s="14" t="str">
        <f t="shared" ref="N138:N152" ca="1" si="5">DATEDIF(C138, TODAY(), "m") &amp; " months, " &amp; DATEDIF(C138, TODAY(), "md") &amp; " days"</f>
        <v>14 months, 11 days</v>
      </c>
    </row>
    <row r="139" spans="2:14" ht="56.25" hidden="1" x14ac:dyDescent="0.25">
      <c r="B139" s="85">
        <v>136</v>
      </c>
      <c r="C139" s="155">
        <v>45446</v>
      </c>
      <c r="D139" s="155"/>
      <c r="E139" s="45" t="s">
        <v>16</v>
      </c>
      <c r="F139" s="189" t="s">
        <v>216</v>
      </c>
      <c r="G139" s="127"/>
      <c r="H139" s="127"/>
      <c r="I139" s="20" t="s">
        <v>18</v>
      </c>
      <c r="J139" s="127"/>
      <c r="K139" s="88" t="s">
        <v>19</v>
      </c>
      <c r="L139" s="127" t="s">
        <v>20</v>
      </c>
      <c r="M139" s="14"/>
      <c r="N139" s="14"/>
    </row>
    <row r="140" spans="2:14" ht="105" hidden="1" x14ac:dyDescent="0.25">
      <c r="B140" s="85">
        <v>137</v>
      </c>
      <c r="C140" s="155">
        <v>45447</v>
      </c>
      <c r="D140" s="155"/>
      <c r="E140" s="45" t="s">
        <v>16</v>
      </c>
      <c r="F140" s="189" t="s">
        <v>217</v>
      </c>
      <c r="G140" s="127"/>
      <c r="H140" s="127"/>
      <c r="I140" s="20" t="s">
        <v>18</v>
      </c>
      <c r="J140" s="127"/>
      <c r="K140" s="126" t="s">
        <v>22</v>
      </c>
      <c r="L140" s="127" t="s">
        <v>218</v>
      </c>
      <c r="M140" s="14" t="s">
        <v>219</v>
      </c>
      <c r="N140" s="14"/>
    </row>
    <row r="141" spans="2:14" ht="75" hidden="1" x14ac:dyDescent="0.25">
      <c r="B141" s="85">
        <v>138</v>
      </c>
      <c r="C141" s="155">
        <v>45447</v>
      </c>
      <c r="D141" s="155"/>
      <c r="E141" s="45" t="s">
        <v>16</v>
      </c>
      <c r="F141" s="189" t="s">
        <v>220</v>
      </c>
      <c r="G141" s="127"/>
      <c r="H141" s="127"/>
      <c r="I141" s="20" t="s">
        <v>18</v>
      </c>
      <c r="J141" s="127"/>
      <c r="K141" s="126" t="s">
        <v>19</v>
      </c>
      <c r="L141" s="127" t="s">
        <v>221</v>
      </c>
      <c r="M141" s="14"/>
      <c r="N141" s="14"/>
    </row>
    <row r="142" spans="2:14" ht="60" hidden="1" x14ac:dyDescent="0.25">
      <c r="B142" s="85">
        <v>139</v>
      </c>
      <c r="C142" s="155">
        <v>45452</v>
      </c>
      <c r="D142" s="45" t="s">
        <v>222</v>
      </c>
      <c r="E142" s="45" t="s">
        <v>223</v>
      </c>
      <c r="F142" s="188" t="s">
        <v>224</v>
      </c>
      <c r="G142" s="127"/>
      <c r="H142" s="127"/>
      <c r="I142" s="20" t="s">
        <v>18</v>
      </c>
      <c r="J142" s="127"/>
      <c r="K142" s="126" t="s">
        <v>19</v>
      </c>
      <c r="L142" s="127" t="s">
        <v>225</v>
      </c>
      <c r="M142" s="14" t="s">
        <v>226</v>
      </c>
      <c r="N142" s="14"/>
    </row>
    <row r="143" spans="2:14" ht="60" hidden="1" x14ac:dyDescent="0.25">
      <c r="B143" s="85">
        <v>140</v>
      </c>
      <c r="C143" s="155">
        <v>45452</v>
      </c>
      <c r="D143" s="45" t="s">
        <v>222</v>
      </c>
      <c r="E143" s="45" t="s">
        <v>223</v>
      </c>
      <c r="F143" s="188" t="s">
        <v>227</v>
      </c>
      <c r="G143" s="127"/>
      <c r="H143" s="127"/>
      <c r="I143" s="20" t="s">
        <v>18</v>
      </c>
      <c r="J143" s="127"/>
      <c r="K143" s="126" t="s">
        <v>19</v>
      </c>
      <c r="L143" s="127" t="s">
        <v>225</v>
      </c>
      <c r="M143" s="14" t="s">
        <v>226</v>
      </c>
      <c r="N143" s="14"/>
    </row>
    <row r="144" spans="2:14" ht="63" hidden="1" x14ac:dyDescent="0.25">
      <c r="B144" s="85">
        <v>141</v>
      </c>
      <c r="C144" s="155">
        <v>45452</v>
      </c>
      <c r="D144" s="45" t="s">
        <v>222</v>
      </c>
      <c r="E144" s="45" t="s">
        <v>223</v>
      </c>
      <c r="F144" s="166" t="s">
        <v>228</v>
      </c>
      <c r="G144" s="127"/>
      <c r="H144" s="127"/>
      <c r="I144" s="20" t="s">
        <v>18</v>
      </c>
      <c r="J144" s="127"/>
      <c r="K144" s="126" t="s">
        <v>19</v>
      </c>
      <c r="L144" s="127" t="s">
        <v>225</v>
      </c>
      <c r="M144" s="14" t="s">
        <v>226</v>
      </c>
      <c r="N144" s="14"/>
    </row>
    <row r="145" spans="2:14" ht="60" hidden="1" x14ac:dyDescent="0.25">
      <c r="B145" s="85">
        <v>142</v>
      </c>
      <c r="C145" s="155">
        <v>45452</v>
      </c>
      <c r="D145" s="45" t="s">
        <v>222</v>
      </c>
      <c r="E145" s="45" t="s">
        <v>223</v>
      </c>
      <c r="F145" s="166" t="s">
        <v>229</v>
      </c>
      <c r="G145" s="127"/>
      <c r="H145" s="127"/>
      <c r="I145" s="20" t="s">
        <v>18</v>
      </c>
      <c r="J145" s="127"/>
      <c r="K145" s="126" t="s">
        <v>19</v>
      </c>
      <c r="L145" s="127" t="s">
        <v>225</v>
      </c>
      <c r="M145" s="14" t="s">
        <v>226</v>
      </c>
      <c r="N145" s="14"/>
    </row>
    <row r="146" spans="2:14" ht="60" hidden="1" x14ac:dyDescent="0.25">
      <c r="B146" s="85">
        <v>143</v>
      </c>
      <c r="C146" s="155">
        <v>45452</v>
      </c>
      <c r="D146" s="45" t="s">
        <v>222</v>
      </c>
      <c r="E146" s="45" t="s">
        <v>223</v>
      </c>
      <c r="F146" s="166" t="s">
        <v>230</v>
      </c>
      <c r="G146" s="127"/>
      <c r="H146" s="127"/>
      <c r="I146" s="20" t="s">
        <v>18</v>
      </c>
      <c r="J146" s="127"/>
      <c r="K146" s="126" t="s">
        <v>19</v>
      </c>
      <c r="L146" s="127" t="s">
        <v>225</v>
      </c>
      <c r="M146" s="14" t="s">
        <v>226</v>
      </c>
      <c r="N146" s="14"/>
    </row>
    <row r="147" spans="2:14" ht="63" hidden="1" x14ac:dyDescent="0.25">
      <c r="B147" s="85">
        <v>144</v>
      </c>
      <c r="C147" s="155">
        <v>45452</v>
      </c>
      <c r="D147" s="45" t="s">
        <v>222</v>
      </c>
      <c r="E147" s="45" t="s">
        <v>223</v>
      </c>
      <c r="F147" s="166" t="s">
        <v>231</v>
      </c>
      <c r="G147" s="127"/>
      <c r="H147" s="127"/>
      <c r="I147" s="20" t="s">
        <v>18</v>
      </c>
      <c r="J147" s="127"/>
      <c r="K147" s="126" t="s">
        <v>19</v>
      </c>
      <c r="L147" s="127" t="s">
        <v>225</v>
      </c>
      <c r="M147" s="14" t="s">
        <v>226</v>
      </c>
      <c r="N147" s="14"/>
    </row>
    <row r="148" spans="2:14" ht="63" hidden="1" x14ac:dyDescent="0.25">
      <c r="B148" s="85">
        <v>145</v>
      </c>
      <c r="C148" s="155">
        <v>45452</v>
      </c>
      <c r="D148" s="45" t="s">
        <v>222</v>
      </c>
      <c r="E148" s="45" t="s">
        <v>223</v>
      </c>
      <c r="F148" s="166" t="s">
        <v>232</v>
      </c>
      <c r="G148" s="127"/>
      <c r="H148" s="127"/>
      <c r="I148" s="20" t="s">
        <v>18</v>
      </c>
      <c r="J148" s="127"/>
      <c r="K148" s="126" t="s">
        <v>19</v>
      </c>
      <c r="L148" s="127" t="s">
        <v>225</v>
      </c>
      <c r="M148" s="14" t="s">
        <v>226</v>
      </c>
      <c r="N148" s="14"/>
    </row>
    <row r="149" spans="2:14" ht="78.75" hidden="1" x14ac:dyDescent="0.25">
      <c r="B149" s="85">
        <v>146</v>
      </c>
      <c r="C149" s="155">
        <v>45452</v>
      </c>
      <c r="D149" s="45" t="s">
        <v>222</v>
      </c>
      <c r="E149" s="45" t="s">
        <v>223</v>
      </c>
      <c r="F149" s="166" t="s">
        <v>233</v>
      </c>
      <c r="G149" s="127"/>
      <c r="H149" s="127"/>
      <c r="I149" s="20" t="s">
        <v>18</v>
      </c>
      <c r="J149" s="127"/>
      <c r="K149" s="126" t="s">
        <v>19</v>
      </c>
      <c r="L149" s="127" t="s">
        <v>225</v>
      </c>
      <c r="M149" s="14" t="s">
        <v>226</v>
      </c>
      <c r="N149" s="14"/>
    </row>
    <row r="150" spans="2:14" ht="60" hidden="1" x14ac:dyDescent="0.25">
      <c r="B150" s="85">
        <v>147</v>
      </c>
      <c r="C150" s="155">
        <v>45452</v>
      </c>
      <c r="D150" s="45" t="s">
        <v>222</v>
      </c>
      <c r="E150" s="45" t="s">
        <v>223</v>
      </c>
      <c r="F150" s="166" t="s">
        <v>234</v>
      </c>
      <c r="G150" s="127"/>
      <c r="H150" s="127"/>
      <c r="I150" s="20" t="s">
        <v>18</v>
      </c>
      <c r="J150" s="127"/>
      <c r="K150" s="126" t="s">
        <v>19</v>
      </c>
      <c r="L150" s="127" t="s">
        <v>225</v>
      </c>
      <c r="M150" s="14" t="s">
        <v>226</v>
      </c>
      <c r="N150" s="14"/>
    </row>
    <row r="151" spans="2:14" ht="78.75" hidden="1" x14ac:dyDescent="0.25">
      <c r="B151" s="85">
        <v>148</v>
      </c>
      <c r="C151" s="155">
        <v>45452</v>
      </c>
      <c r="D151" s="45" t="s">
        <v>222</v>
      </c>
      <c r="E151" s="45" t="s">
        <v>223</v>
      </c>
      <c r="F151" s="166" t="s">
        <v>235</v>
      </c>
      <c r="G151" s="127"/>
      <c r="H151" s="127"/>
      <c r="I151" s="20" t="s">
        <v>18</v>
      </c>
      <c r="J151" s="127"/>
      <c r="K151" s="126" t="s">
        <v>19</v>
      </c>
      <c r="L151" s="127" t="s">
        <v>225</v>
      </c>
      <c r="M151" s="14" t="s">
        <v>226</v>
      </c>
      <c r="N151" s="14"/>
    </row>
    <row r="152" spans="2:14" ht="94.5" hidden="1" x14ac:dyDescent="0.25">
      <c r="B152" s="85">
        <v>149</v>
      </c>
      <c r="C152" s="155">
        <v>45452</v>
      </c>
      <c r="D152" s="45" t="s">
        <v>222</v>
      </c>
      <c r="E152" s="45" t="s">
        <v>223</v>
      </c>
      <c r="F152" s="166" t="s">
        <v>236</v>
      </c>
      <c r="G152" s="127"/>
      <c r="H152" s="127"/>
      <c r="I152" s="20" t="s">
        <v>18</v>
      </c>
      <c r="J152" s="127"/>
      <c r="K152" s="126" t="s">
        <v>19</v>
      </c>
      <c r="L152" s="127" t="s">
        <v>237</v>
      </c>
      <c r="M152" s="127"/>
      <c r="N152" s="14" t="str">
        <f t="shared" ca="1" si="5"/>
        <v>14 months, 4 days</v>
      </c>
    </row>
    <row r="153" spans="2:14" ht="31.5" hidden="1" x14ac:dyDescent="0.25">
      <c r="B153" s="85">
        <v>150</v>
      </c>
      <c r="C153" s="165">
        <v>45460</v>
      </c>
      <c r="D153" s="165">
        <v>45460</v>
      </c>
      <c r="E153" s="127" t="s">
        <v>34</v>
      </c>
      <c r="F153" s="166" t="s">
        <v>238</v>
      </c>
      <c r="G153" s="127"/>
      <c r="H153" s="127"/>
      <c r="I153" s="127"/>
      <c r="J153" s="20" t="s">
        <v>18</v>
      </c>
      <c r="K153" s="142" t="s">
        <v>29</v>
      </c>
      <c r="L153" s="127" t="s">
        <v>20</v>
      </c>
      <c r="M153" s="127"/>
      <c r="N153" s="127"/>
    </row>
    <row r="154" spans="2:14" ht="31.5" hidden="1" x14ac:dyDescent="0.25">
      <c r="B154" s="85">
        <v>151</v>
      </c>
      <c r="C154" s="165">
        <v>45462</v>
      </c>
      <c r="D154" s="165">
        <v>45462</v>
      </c>
      <c r="E154" s="127" t="s">
        <v>34</v>
      </c>
      <c r="F154" s="166" t="s">
        <v>239</v>
      </c>
      <c r="G154" s="127"/>
      <c r="H154" s="127"/>
      <c r="I154" s="127"/>
      <c r="J154" s="20" t="s">
        <v>18</v>
      </c>
      <c r="K154" s="142" t="s">
        <v>29</v>
      </c>
      <c r="L154" s="127" t="s">
        <v>20</v>
      </c>
      <c r="M154" s="127"/>
      <c r="N154" s="127"/>
    </row>
    <row r="155" spans="2:14" ht="47.25" hidden="1" x14ac:dyDescent="0.25">
      <c r="B155" s="85">
        <v>152</v>
      </c>
      <c r="C155" s="165">
        <v>45462</v>
      </c>
      <c r="D155" s="127"/>
      <c r="E155" s="127" t="s">
        <v>16</v>
      </c>
      <c r="F155" s="166" t="s">
        <v>240</v>
      </c>
      <c r="G155" s="127"/>
      <c r="H155" s="127"/>
      <c r="I155" s="20" t="s">
        <v>18</v>
      </c>
      <c r="J155" s="127"/>
      <c r="K155" s="88" t="s">
        <v>19</v>
      </c>
      <c r="L155" s="127" t="s">
        <v>241</v>
      </c>
      <c r="M155" s="127"/>
      <c r="N155" s="14"/>
    </row>
    <row r="156" spans="2:14" ht="78.75" hidden="1" customHeight="1" x14ac:dyDescent="0.25">
      <c r="B156" s="85">
        <v>153</v>
      </c>
      <c r="C156" s="165">
        <v>45471</v>
      </c>
      <c r="D156" s="127"/>
      <c r="E156" s="127" t="s">
        <v>34</v>
      </c>
      <c r="F156" s="166" t="s">
        <v>1077</v>
      </c>
      <c r="G156" s="127"/>
      <c r="H156" s="127"/>
      <c r="I156" s="20"/>
      <c r="J156" s="20" t="s">
        <v>18</v>
      </c>
      <c r="K156" s="126" t="s">
        <v>29</v>
      </c>
      <c r="L156" s="127" t="s">
        <v>20</v>
      </c>
      <c r="M156" s="127"/>
      <c r="N156" s="14"/>
    </row>
    <row r="157" spans="2:14" ht="63" x14ac:dyDescent="0.25">
      <c r="B157" s="85">
        <v>154</v>
      </c>
      <c r="C157" s="165">
        <v>45478</v>
      </c>
      <c r="D157" s="165">
        <v>45477</v>
      </c>
      <c r="E157" s="127" t="s">
        <v>185</v>
      </c>
      <c r="F157" s="166" t="s">
        <v>242</v>
      </c>
      <c r="G157" s="20" t="s">
        <v>18</v>
      </c>
      <c r="H157" s="127"/>
      <c r="I157" s="127"/>
      <c r="J157" s="127"/>
      <c r="K157" s="233" t="s">
        <v>19</v>
      </c>
      <c r="L157" s="127" t="s">
        <v>243</v>
      </c>
      <c r="M157" s="127" t="s">
        <v>244</v>
      </c>
      <c r="N157" s="14" t="str">
        <f t="shared" ref="N157" ca="1" si="6">DATEDIF(C157, TODAY(), "m") &amp; " months, " &amp; DATEDIF(C157, TODAY(), "md") &amp; " days"</f>
        <v>13 months, 8 days</v>
      </c>
    </row>
    <row r="158" spans="2:14" ht="31.5" hidden="1" x14ac:dyDescent="0.25">
      <c r="B158" s="85">
        <v>155</v>
      </c>
      <c r="C158" s="165">
        <v>45496</v>
      </c>
      <c r="D158" s="127"/>
      <c r="E158" s="127" t="s">
        <v>16</v>
      </c>
      <c r="F158" s="166" t="s">
        <v>242</v>
      </c>
      <c r="G158" s="127"/>
      <c r="H158" s="127"/>
      <c r="I158" s="20" t="s">
        <v>18</v>
      </c>
      <c r="J158" s="127"/>
      <c r="K158" s="126" t="s">
        <v>22</v>
      </c>
      <c r="L158" s="127" t="s">
        <v>245</v>
      </c>
      <c r="M158" s="127"/>
      <c r="N158" s="14"/>
    </row>
    <row r="159" spans="2:14" ht="47.25" hidden="1" x14ac:dyDescent="0.25">
      <c r="B159" s="85">
        <v>156</v>
      </c>
      <c r="C159" s="165">
        <v>45496</v>
      </c>
      <c r="D159" s="127"/>
      <c r="E159" s="127" t="s">
        <v>16</v>
      </c>
      <c r="F159" s="166" t="s">
        <v>246</v>
      </c>
      <c r="G159" s="127"/>
      <c r="H159" s="127"/>
      <c r="I159" s="20" t="s">
        <v>18</v>
      </c>
      <c r="J159" s="127"/>
      <c r="K159" s="126" t="s">
        <v>19</v>
      </c>
      <c r="L159" s="127" t="s">
        <v>247</v>
      </c>
      <c r="M159" s="127"/>
      <c r="N159" s="14"/>
    </row>
    <row r="160" spans="2:14" ht="63" hidden="1" x14ac:dyDescent="0.25">
      <c r="B160" s="85">
        <v>157</v>
      </c>
      <c r="C160" s="165">
        <v>45498</v>
      </c>
      <c r="D160" s="127"/>
      <c r="E160" s="127" t="s">
        <v>16</v>
      </c>
      <c r="F160" s="166" t="s">
        <v>248</v>
      </c>
      <c r="G160" s="127"/>
      <c r="H160" s="127"/>
      <c r="I160" s="20" t="s">
        <v>18</v>
      </c>
      <c r="J160" s="127"/>
      <c r="K160" s="126" t="s">
        <v>22</v>
      </c>
      <c r="L160" s="127" t="s">
        <v>249</v>
      </c>
      <c r="M160" s="127"/>
      <c r="N160" s="127" t="str">
        <f ca="1">DATEDIF(C160, TODAY(), "m") &amp; " months, " &amp; DATEDIF(C160, TODAY(), "md") &amp; " days"</f>
        <v>12 months, 19 days</v>
      </c>
    </row>
    <row r="161" spans="2:14" ht="47.25" hidden="1" x14ac:dyDescent="0.25">
      <c r="B161" s="85">
        <v>158</v>
      </c>
      <c r="C161" s="165">
        <v>45502</v>
      </c>
      <c r="D161" s="127"/>
      <c r="E161" s="127" t="s">
        <v>34</v>
      </c>
      <c r="F161" s="166" t="s">
        <v>250</v>
      </c>
      <c r="G161" s="127"/>
      <c r="H161" s="127"/>
      <c r="I161" s="127"/>
      <c r="J161" s="20" t="s">
        <v>18</v>
      </c>
      <c r="K161" s="142" t="s">
        <v>29</v>
      </c>
      <c r="L161" s="127" t="s">
        <v>251</v>
      </c>
      <c r="M161" s="127"/>
      <c r="N161" s="127"/>
    </row>
    <row r="162" spans="2:14" ht="31.5" hidden="1" x14ac:dyDescent="0.25">
      <c r="B162" s="85">
        <v>159</v>
      </c>
      <c r="C162" s="165">
        <v>45502</v>
      </c>
      <c r="D162" s="127"/>
      <c r="E162" s="127" t="s">
        <v>16</v>
      </c>
      <c r="F162" s="166" t="s">
        <v>252</v>
      </c>
      <c r="G162" s="127"/>
      <c r="H162" s="20" t="s">
        <v>18</v>
      </c>
      <c r="I162" s="20" t="s">
        <v>18</v>
      </c>
      <c r="J162" s="127"/>
      <c r="K162" s="234" t="s">
        <v>19</v>
      </c>
      <c r="L162" s="127" t="s">
        <v>205</v>
      </c>
      <c r="M162" s="127"/>
      <c r="N162" s="127" t="str">
        <f ca="1">DATEDIF(C162, TODAY(), "m") &amp; " months, " &amp; DATEDIF(C162, TODAY(), "md") &amp; " days"</f>
        <v>12 months, 15 days</v>
      </c>
    </row>
    <row r="163" spans="2:14" ht="63" hidden="1" x14ac:dyDescent="0.25">
      <c r="B163" s="85">
        <v>160</v>
      </c>
      <c r="C163" s="165">
        <v>45512</v>
      </c>
      <c r="D163" s="127"/>
      <c r="E163" s="127" t="s">
        <v>34</v>
      </c>
      <c r="F163" s="166" t="s">
        <v>253</v>
      </c>
      <c r="G163" s="127"/>
      <c r="H163" s="127"/>
      <c r="I163" s="127"/>
      <c r="J163" s="20" t="s">
        <v>18</v>
      </c>
      <c r="K163" s="142" t="s">
        <v>29</v>
      </c>
      <c r="L163" s="127" t="s">
        <v>251</v>
      </c>
      <c r="M163" s="127"/>
      <c r="N163" s="127"/>
    </row>
    <row r="164" spans="2:14" ht="47.25" hidden="1" x14ac:dyDescent="0.25">
      <c r="B164" s="85">
        <v>161</v>
      </c>
      <c r="C164" s="165">
        <v>45514</v>
      </c>
      <c r="D164" s="127"/>
      <c r="E164" s="127" t="s">
        <v>34</v>
      </c>
      <c r="F164" s="166" t="s">
        <v>254</v>
      </c>
      <c r="G164" s="127"/>
      <c r="H164" s="127"/>
      <c r="I164" s="127"/>
      <c r="J164" s="20" t="s">
        <v>18</v>
      </c>
      <c r="K164" s="142" t="s">
        <v>29</v>
      </c>
      <c r="L164" s="127" t="s">
        <v>251</v>
      </c>
      <c r="M164" s="127"/>
      <c r="N164" s="127"/>
    </row>
    <row r="165" spans="2:14" ht="31.5" hidden="1" x14ac:dyDescent="0.25">
      <c r="B165" s="85">
        <v>162</v>
      </c>
      <c r="C165" s="165">
        <v>45515</v>
      </c>
      <c r="D165" s="165">
        <v>45514</v>
      </c>
      <c r="E165" s="127" t="s">
        <v>77</v>
      </c>
      <c r="F165" s="166" t="s">
        <v>255</v>
      </c>
      <c r="G165" s="20" t="s">
        <v>18</v>
      </c>
      <c r="H165" s="127"/>
      <c r="I165" s="127"/>
      <c r="J165" s="127"/>
      <c r="K165" s="234" t="s">
        <v>19</v>
      </c>
      <c r="L165" s="127" t="s">
        <v>122</v>
      </c>
      <c r="M165" s="127"/>
      <c r="N165" s="127" t="str">
        <f ca="1">DATEDIF(C165, TODAY(), "m") &amp; " months, " &amp; DATEDIF(C165, TODAY(), "md") &amp; " days"</f>
        <v>12 months, 2 days</v>
      </c>
    </row>
    <row r="166" spans="2:14" ht="47.25" hidden="1" x14ac:dyDescent="0.25">
      <c r="B166" s="85">
        <v>163</v>
      </c>
      <c r="C166" s="165">
        <v>45515</v>
      </c>
      <c r="D166" s="127"/>
      <c r="E166" s="127" t="s">
        <v>34</v>
      </c>
      <c r="F166" s="166" t="s">
        <v>256</v>
      </c>
      <c r="G166" s="127"/>
      <c r="H166" s="127"/>
      <c r="I166" s="127"/>
      <c r="J166" s="20" t="s">
        <v>18</v>
      </c>
      <c r="K166" s="142" t="s">
        <v>29</v>
      </c>
      <c r="L166" s="127" t="s">
        <v>251</v>
      </c>
      <c r="M166" s="127"/>
      <c r="N166" s="127"/>
    </row>
    <row r="167" spans="2:14" ht="47.25" hidden="1" x14ac:dyDescent="0.25">
      <c r="B167" s="85">
        <v>164</v>
      </c>
      <c r="C167" s="165">
        <v>45525</v>
      </c>
      <c r="D167" s="127" t="s">
        <v>257</v>
      </c>
      <c r="E167" s="127" t="s">
        <v>258</v>
      </c>
      <c r="F167" s="166" t="s">
        <v>259</v>
      </c>
      <c r="G167" s="127"/>
      <c r="H167" s="127"/>
      <c r="I167" s="20" t="s">
        <v>18</v>
      </c>
      <c r="J167" s="127"/>
      <c r="K167" s="88" t="s">
        <v>19</v>
      </c>
      <c r="L167" s="127" t="s">
        <v>251</v>
      </c>
      <c r="M167" s="127"/>
      <c r="N167" s="127"/>
    </row>
    <row r="168" spans="2:14" ht="81.75" hidden="1" customHeight="1" x14ac:dyDescent="0.25">
      <c r="B168" s="85">
        <v>165</v>
      </c>
      <c r="C168" s="165">
        <v>45525</v>
      </c>
      <c r="D168" s="127"/>
      <c r="E168" s="127" t="s">
        <v>16</v>
      </c>
      <c r="F168" s="166" t="s">
        <v>260</v>
      </c>
      <c r="G168" s="127"/>
      <c r="H168" s="127"/>
      <c r="I168" s="20" t="s">
        <v>18</v>
      </c>
      <c r="J168" s="127"/>
      <c r="K168" s="236" t="s">
        <v>1078</v>
      </c>
      <c r="L168" s="127" t="s">
        <v>221</v>
      </c>
      <c r="M168" s="127"/>
      <c r="N168" s="127"/>
    </row>
    <row r="169" spans="2:14" ht="31.5" hidden="1" x14ac:dyDescent="0.25">
      <c r="B169" s="85">
        <v>166</v>
      </c>
      <c r="C169" s="165">
        <v>45528</v>
      </c>
      <c r="D169" s="127"/>
      <c r="E169" s="127" t="s">
        <v>34</v>
      </c>
      <c r="F169" s="166" t="s">
        <v>261</v>
      </c>
      <c r="G169" s="127"/>
      <c r="H169" s="127"/>
      <c r="I169" s="127"/>
      <c r="J169" s="20" t="s">
        <v>18</v>
      </c>
      <c r="K169" s="142" t="s">
        <v>29</v>
      </c>
      <c r="L169" s="127" t="s">
        <v>251</v>
      </c>
      <c r="M169" s="127"/>
      <c r="N169" s="127"/>
    </row>
    <row r="170" spans="2:14" ht="63" hidden="1" x14ac:dyDescent="0.25">
      <c r="B170" s="85">
        <v>167</v>
      </c>
      <c r="C170" s="165">
        <v>45534</v>
      </c>
      <c r="D170" s="127" t="s">
        <v>257</v>
      </c>
      <c r="E170" s="127" t="s">
        <v>262</v>
      </c>
      <c r="F170" s="166" t="s">
        <v>263</v>
      </c>
      <c r="G170" s="127"/>
      <c r="H170" s="127"/>
      <c r="I170" s="20" t="s">
        <v>18</v>
      </c>
      <c r="J170" s="127"/>
      <c r="K170" s="126" t="s">
        <v>22</v>
      </c>
      <c r="L170" s="127" t="s">
        <v>251</v>
      </c>
      <c r="M170" s="127"/>
      <c r="N170" s="127"/>
    </row>
    <row r="171" spans="2:14" ht="63" hidden="1" x14ac:dyDescent="0.25">
      <c r="B171" s="85">
        <v>168</v>
      </c>
      <c r="C171" s="165">
        <v>45534</v>
      </c>
      <c r="D171" s="127" t="s">
        <v>257</v>
      </c>
      <c r="E171" s="127" t="s">
        <v>262</v>
      </c>
      <c r="F171" s="166" t="s">
        <v>264</v>
      </c>
      <c r="G171" s="127"/>
      <c r="H171" s="127"/>
      <c r="I171" s="20" t="s">
        <v>18</v>
      </c>
      <c r="J171" s="127"/>
      <c r="K171" s="126" t="s">
        <v>22</v>
      </c>
      <c r="L171" s="127" t="s">
        <v>251</v>
      </c>
      <c r="M171" s="127"/>
      <c r="N171" s="127"/>
    </row>
    <row r="172" spans="2:14" ht="31.5" hidden="1" x14ac:dyDescent="0.25">
      <c r="B172" s="85">
        <v>169</v>
      </c>
      <c r="C172" s="165">
        <v>45534</v>
      </c>
      <c r="D172" s="127" t="s">
        <v>257</v>
      </c>
      <c r="E172" s="127" t="s">
        <v>262</v>
      </c>
      <c r="F172" s="166" t="s">
        <v>265</v>
      </c>
      <c r="G172" s="127"/>
      <c r="H172" s="127"/>
      <c r="I172" s="20" t="s">
        <v>18</v>
      </c>
      <c r="J172" s="127"/>
      <c r="K172" s="126" t="s">
        <v>22</v>
      </c>
      <c r="L172" s="127" t="s">
        <v>251</v>
      </c>
      <c r="M172" s="127"/>
      <c r="N172" s="127"/>
    </row>
    <row r="173" spans="2:14" ht="31.5" hidden="1" x14ac:dyDescent="0.25">
      <c r="B173" s="85">
        <v>170</v>
      </c>
      <c r="C173" s="165">
        <v>45534</v>
      </c>
      <c r="D173" s="127" t="s">
        <v>257</v>
      </c>
      <c r="E173" s="127" t="s">
        <v>262</v>
      </c>
      <c r="F173" s="166" t="s">
        <v>266</v>
      </c>
      <c r="G173" s="127"/>
      <c r="H173" s="127"/>
      <c r="I173" s="20" t="s">
        <v>18</v>
      </c>
      <c r="J173" s="127"/>
      <c r="K173" s="126" t="s">
        <v>22</v>
      </c>
      <c r="L173" s="127" t="s">
        <v>251</v>
      </c>
      <c r="M173" s="127"/>
      <c r="N173" s="127"/>
    </row>
    <row r="174" spans="2:14" ht="63" hidden="1" x14ac:dyDescent="0.25">
      <c r="B174" s="85">
        <v>171</v>
      </c>
      <c r="C174" s="165">
        <v>45534</v>
      </c>
      <c r="D174" s="127" t="s">
        <v>257</v>
      </c>
      <c r="E174" s="127" t="s">
        <v>262</v>
      </c>
      <c r="F174" s="166" t="s">
        <v>267</v>
      </c>
      <c r="G174" s="127"/>
      <c r="H174" s="127"/>
      <c r="I174" s="20" t="s">
        <v>18</v>
      </c>
      <c r="J174" s="127"/>
      <c r="K174" s="126" t="s">
        <v>22</v>
      </c>
      <c r="L174" s="127" t="s">
        <v>251</v>
      </c>
      <c r="M174" s="127"/>
      <c r="N174" s="127"/>
    </row>
    <row r="175" spans="2:14" ht="31.5" hidden="1" x14ac:dyDescent="0.25">
      <c r="B175" s="85">
        <v>172</v>
      </c>
      <c r="C175" s="165">
        <v>45534</v>
      </c>
      <c r="D175" s="127" t="s">
        <v>257</v>
      </c>
      <c r="E175" s="127" t="s">
        <v>262</v>
      </c>
      <c r="F175" s="166" t="s">
        <v>268</v>
      </c>
      <c r="G175" s="127"/>
      <c r="H175" s="127"/>
      <c r="I175" s="20" t="s">
        <v>18</v>
      </c>
      <c r="J175" s="127"/>
      <c r="K175" s="126" t="s">
        <v>22</v>
      </c>
      <c r="L175" s="127" t="s">
        <v>251</v>
      </c>
      <c r="M175" s="127"/>
      <c r="N175" s="127"/>
    </row>
    <row r="176" spans="2:14" ht="63" hidden="1" x14ac:dyDescent="0.25">
      <c r="B176" s="85">
        <v>173</v>
      </c>
      <c r="C176" s="165">
        <v>45534</v>
      </c>
      <c r="D176" s="127" t="s">
        <v>257</v>
      </c>
      <c r="E176" s="127" t="s">
        <v>262</v>
      </c>
      <c r="F176" s="166" t="s">
        <v>269</v>
      </c>
      <c r="G176" s="127"/>
      <c r="H176" s="127"/>
      <c r="I176" s="20" t="s">
        <v>18</v>
      </c>
      <c r="J176" s="127"/>
      <c r="K176" s="126" t="s">
        <v>22</v>
      </c>
      <c r="L176" s="127" t="s">
        <v>251</v>
      </c>
      <c r="M176" s="127"/>
      <c r="N176" s="127"/>
    </row>
    <row r="177" spans="2:14" ht="47.25" hidden="1" x14ac:dyDescent="0.25">
      <c r="B177" s="85">
        <v>174</v>
      </c>
      <c r="C177" s="165">
        <v>45534</v>
      </c>
      <c r="D177" s="127" t="s">
        <v>257</v>
      </c>
      <c r="E177" s="127" t="s">
        <v>262</v>
      </c>
      <c r="F177" s="166" t="s">
        <v>270</v>
      </c>
      <c r="G177" s="127"/>
      <c r="H177" s="127"/>
      <c r="I177" s="20" t="s">
        <v>18</v>
      </c>
      <c r="J177" s="127"/>
      <c r="K177" s="126" t="s">
        <v>22</v>
      </c>
      <c r="L177" s="127" t="s">
        <v>251</v>
      </c>
      <c r="M177" s="127"/>
      <c r="N177" s="127"/>
    </row>
    <row r="178" spans="2:14" ht="31.5" hidden="1" x14ac:dyDescent="0.25">
      <c r="B178" s="85">
        <v>175</v>
      </c>
      <c r="C178" s="165">
        <v>45534</v>
      </c>
      <c r="D178" s="127" t="s">
        <v>257</v>
      </c>
      <c r="E178" s="127" t="s">
        <v>262</v>
      </c>
      <c r="F178" s="166" t="s">
        <v>271</v>
      </c>
      <c r="G178" s="127"/>
      <c r="H178" s="127"/>
      <c r="I178" s="20" t="s">
        <v>18</v>
      </c>
      <c r="J178" s="127"/>
      <c r="K178" s="126" t="s">
        <v>22</v>
      </c>
      <c r="L178" s="127" t="s">
        <v>251</v>
      </c>
      <c r="M178" s="127"/>
      <c r="N178" s="127"/>
    </row>
    <row r="179" spans="2:14" ht="47.25" hidden="1" x14ac:dyDescent="0.25">
      <c r="B179" s="85">
        <v>176</v>
      </c>
      <c r="C179" s="165">
        <v>45534</v>
      </c>
      <c r="D179" s="127" t="s">
        <v>257</v>
      </c>
      <c r="E179" s="127" t="s">
        <v>262</v>
      </c>
      <c r="F179" s="166" t="s">
        <v>272</v>
      </c>
      <c r="G179" s="127"/>
      <c r="H179" s="127"/>
      <c r="I179" s="20" t="s">
        <v>18</v>
      </c>
      <c r="J179" s="127"/>
      <c r="K179" s="126" t="s">
        <v>22</v>
      </c>
      <c r="L179" s="127" t="s">
        <v>251</v>
      </c>
      <c r="M179" s="127"/>
      <c r="N179" s="127"/>
    </row>
    <row r="180" spans="2:14" ht="31.5" hidden="1" x14ac:dyDescent="0.25">
      <c r="B180" s="85">
        <v>177</v>
      </c>
      <c r="C180" s="165">
        <v>45534</v>
      </c>
      <c r="D180" s="127" t="s">
        <v>257</v>
      </c>
      <c r="E180" s="127" t="s">
        <v>262</v>
      </c>
      <c r="F180" s="166" t="s">
        <v>273</v>
      </c>
      <c r="G180" s="127"/>
      <c r="H180" s="127"/>
      <c r="I180" s="20" t="s">
        <v>18</v>
      </c>
      <c r="J180" s="127"/>
      <c r="K180" s="126" t="s">
        <v>22</v>
      </c>
      <c r="L180" s="127" t="s">
        <v>251</v>
      </c>
      <c r="M180" s="127"/>
      <c r="N180" s="127"/>
    </row>
    <row r="181" spans="2:14" ht="31.5" hidden="1" x14ac:dyDescent="0.25">
      <c r="B181" s="85">
        <v>178</v>
      </c>
      <c r="C181" s="165">
        <v>45534</v>
      </c>
      <c r="D181" s="127" t="s">
        <v>257</v>
      </c>
      <c r="E181" s="127" t="s">
        <v>262</v>
      </c>
      <c r="F181" s="166" t="s">
        <v>274</v>
      </c>
      <c r="G181" s="127"/>
      <c r="H181" s="127"/>
      <c r="I181" s="20" t="s">
        <v>18</v>
      </c>
      <c r="J181" s="127"/>
      <c r="K181" s="126" t="s">
        <v>22</v>
      </c>
      <c r="L181" s="127" t="s">
        <v>251</v>
      </c>
      <c r="M181" s="127"/>
      <c r="N181" s="127"/>
    </row>
    <row r="182" spans="2:14" ht="47.25" hidden="1" x14ac:dyDescent="0.25">
      <c r="B182" s="85">
        <v>179</v>
      </c>
      <c r="C182" s="165">
        <v>45534</v>
      </c>
      <c r="D182" s="127" t="s">
        <v>257</v>
      </c>
      <c r="E182" s="127" t="s">
        <v>262</v>
      </c>
      <c r="F182" s="166" t="s">
        <v>275</v>
      </c>
      <c r="G182" s="127"/>
      <c r="H182" s="127"/>
      <c r="I182" s="20" t="s">
        <v>18</v>
      </c>
      <c r="J182" s="127"/>
      <c r="K182" s="126" t="s">
        <v>22</v>
      </c>
      <c r="L182" s="127" t="s">
        <v>251</v>
      </c>
      <c r="M182" s="127"/>
      <c r="N182" s="127"/>
    </row>
    <row r="183" spans="2:14" ht="31.5" hidden="1" x14ac:dyDescent="0.25">
      <c r="B183" s="85">
        <v>180</v>
      </c>
      <c r="C183" s="165">
        <v>45534</v>
      </c>
      <c r="D183" s="127" t="s">
        <v>257</v>
      </c>
      <c r="E183" s="127" t="s">
        <v>262</v>
      </c>
      <c r="F183" s="166" t="s">
        <v>276</v>
      </c>
      <c r="G183" s="127"/>
      <c r="H183" s="127"/>
      <c r="I183" s="20" t="s">
        <v>18</v>
      </c>
      <c r="J183" s="127"/>
      <c r="K183" s="126" t="s">
        <v>22</v>
      </c>
      <c r="L183" s="127" t="s">
        <v>251</v>
      </c>
      <c r="M183" s="127"/>
      <c r="N183" s="127"/>
    </row>
    <row r="184" spans="2:14" ht="47.25" hidden="1" x14ac:dyDescent="0.25">
      <c r="B184" s="85">
        <v>181</v>
      </c>
      <c r="C184" s="165">
        <v>45534</v>
      </c>
      <c r="D184" s="127" t="s">
        <v>257</v>
      </c>
      <c r="E184" s="127" t="s">
        <v>262</v>
      </c>
      <c r="F184" s="166" t="s">
        <v>277</v>
      </c>
      <c r="G184" s="127"/>
      <c r="H184" s="127"/>
      <c r="I184" s="20" t="s">
        <v>18</v>
      </c>
      <c r="J184" s="127"/>
      <c r="K184" s="126" t="s">
        <v>22</v>
      </c>
      <c r="L184" s="127" t="s">
        <v>251</v>
      </c>
      <c r="M184" s="127"/>
      <c r="N184" s="127"/>
    </row>
    <row r="185" spans="2:14" ht="47.25" hidden="1" x14ac:dyDescent="0.25">
      <c r="B185" s="85">
        <v>182</v>
      </c>
      <c r="C185" s="165">
        <v>45534</v>
      </c>
      <c r="D185" s="127" t="s">
        <v>257</v>
      </c>
      <c r="E185" s="127" t="s">
        <v>262</v>
      </c>
      <c r="F185" s="166" t="s">
        <v>278</v>
      </c>
      <c r="G185" s="127"/>
      <c r="H185" s="127"/>
      <c r="I185" s="20" t="s">
        <v>18</v>
      </c>
      <c r="J185" s="127"/>
      <c r="K185" s="126" t="s">
        <v>22</v>
      </c>
      <c r="L185" s="127" t="s">
        <v>251</v>
      </c>
      <c r="M185" s="127"/>
      <c r="N185" s="127"/>
    </row>
    <row r="186" spans="2:14" ht="126" hidden="1" x14ac:dyDescent="0.25">
      <c r="B186" s="85">
        <v>183</v>
      </c>
      <c r="C186" s="165">
        <v>45545</v>
      </c>
      <c r="D186" s="127"/>
      <c r="E186" s="127" t="s">
        <v>16</v>
      </c>
      <c r="F186" s="166" t="s">
        <v>279</v>
      </c>
      <c r="G186" s="127"/>
      <c r="H186" s="127"/>
      <c r="I186" s="20" t="s">
        <v>18</v>
      </c>
      <c r="J186" s="127"/>
      <c r="K186" s="146" t="s">
        <v>114</v>
      </c>
      <c r="L186" s="147" t="s">
        <v>280</v>
      </c>
      <c r="M186" s="127"/>
      <c r="N186" s="127" t="str">
        <f t="shared" ref="N186:N204" ca="1" si="7">DATEDIF(C186, TODAY(), "m") &amp; " months, " &amp; DATEDIF(C186, TODAY(), "md") &amp; " days"</f>
        <v>11 months, 3 days</v>
      </c>
    </row>
    <row r="187" spans="2:14" ht="63" hidden="1" x14ac:dyDescent="0.25">
      <c r="B187" s="85">
        <v>184</v>
      </c>
      <c r="C187" s="165">
        <v>45547</v>
      </c>
      <c r="D187" s="127"/>
      <c r="E187" s="127" t="s">
        <v>185</v>
      </c>
      <c r="F187" s="166" t="s">
        <v>281</v>
      </c>
      <c r="G187" s="20" t="s">
        <v>18</v>
      </c>
      <c r="H187" s="127"/>
      <c r="I187" s="20"/>
      <c r="J187" s="127"/>
      <c r="K187" s="126" t="s">
        <v>22</v>
      </c>
      <c r="L187" s="127" t="s">
        <v>249</v>
      </c>
      <c r="M187" s="127" t="s">
        <v>1091</v>
      </c>
      <c r="N187" s="127"/>
    </row>
    <row r="188" spans="2:14" ht="47.25" hidden="1" x14ac:dyDescent="0.25">
      <c r="B188" s="85">
        <v>185</v>
      </c>
      <c r="C188" s="165">
        <v>45550</v>
      </c>
      <c r="D188" s="127"/>
      <c r="E188" s="127" t="s">
        <v>34</v>
      </c>
      <c r="F188" s="166" t="s">
        <v>282</v>
      </c>
      <c r="G188" s="127"/>
      <c r="H188" s="127"/>
      <c r="I188" s="127"/>
      <c r="J188" s="20" t="s">
        <v>18</v>
      </c>
      <c r="K188" s="142" t="s">
        <v>29</v>
      </c>
      <c r="L188" s="127" t="s">
        <v>251</v>
      </c>
      <c r="M188" s="127"/>
      <c r="N188" s="127"/>
    </row>
    <row r="189" spans="2:14" ht="157.5" hidden="1" customHeight="1" x14ac:dyDescent="0.25">
      <c r="B189" s="85">
        <v>186</v>
      </c>
      <c r="C189" s="165">
        <v>45550</v>
      </c>
      <c r="D189" s="127"/>
      <c r="E189" s="127" t="s">
        <v>16</v>
      </c>
      <c r="F189" s="166" t="s">
        <v>283</v>
      </c>
      <c r="G189" s="127"/>
      <c r="H189" s="127"/>
      <c r="I189" s="20" t="s">
        <v>18</v>
      </c>
      <c r="J189" s="127"/>
      <c r="K189" s="88" t="s">
        <v>19</v>
      </c>
      <c r="L189" s="127" t="s">
        <v>251</v>
      </c>
      <c r="M189" s="127"/>
      <c r="N189" s="127"/>
    </row>
    <row r="190" spans="2:14" ht="162" hidden="1" customHeight="1" x14ac:dyDescent="0.25">
      <c r="B190" s="85">
        <v>187</v>
      </c>
      <c r="C190" s="165">
        <v>45551</v>
      </c>
      <c r="D190" s="127"/>
      <c r="E190" s="127" t="s">
        <v>16</v>
      </c>
      <c r="F190" s="166" t="s">
        <v>284</v>
      </c>
      <c r="G190" s="127"/>
      <c r="H190" s="127"/>
      <c r="I190" s="20" t="s">
        <v>18</v>
      </c>
      <c r="J190" s="127"/>
      <c r="K190" s="192" t="s">
        <v>1081</v>
      </c>
      <c r="L190" s="127" t="s">
        <v>285</v>
      </c>
      <c r="M190" s="127"/>
      <c r="N190" s="127"/>
    </row>
    <row r="191" spans="2:14" ht="147.75" hidden="1" customHeight="1" x14ac:dyDescent="0.25">
      <c r="B191" s="85">
        <v>188</v>
      </c>
      <c r="C191" s="155">
        <v>45554</v>
      </c>
      <c r="D191" s="127"/>
      <c r="E191" s="127" t="s">
        <v>16</v>
      </c>
      <c r="F191" s="166" t="s">
        <v>286</v>
      </c>
      <c r="G191" s="127"/>
      <c r="H191" s="127"/>
      <c r="I191" s="20" t="s">
        <v>18</v>
      </c>
      <c r="J191" s="127"/>
      <c r="K191" s="88" t="s">
        <v>19</v>
      </c>
      <c r="L191" s="127" t="s">
        <v>251</v>
      </c>
      <c r="M191" s="127"/>
      <c r="N191" s="127"/>
    </row>
    <row r="192" spans="2:14" ht="48.75" hidden="1" customHeight="1" x14ac:dyDescent="0.25">
      <c r="B192" s="85">
        <v>189</v>
      </c>
      <c r="C192" s="155">
        <v>45555</v>
      </c>
      <c r="D192" s="155">
        <v>45554</v>
      </c>
      <c r="E192" s="127" t="s">
        <v>287</v>
      </c>
      <c r="F192" s="166" t="s">
        <v>288</v>
      </c>
      <c r="G192" s="127"/>
      <c r="H192" s="127"/>
      <c r="I192" s="20" t="s">
        <v>18</v>
      </c>
      <c r="J192" s="127"/>
      <c r="K192" s="142" t="s">
        <v>19</v>
      </c>
      <c r="L192" s="127" t="s">
        <v>289</v>
      </c>
      <c r="M192" s="127"/>
      <c r="N192" s="127"/>
    </row>
    <row r="193" spans="2:14" ht="67.5" hidden="1" customHeight="1" x14ac:dyDescent="0.25">
      <c r="B193" s="85">
        <v>190</v>
      </c>
      <c r="C193" s="155">
        <v>45555</v>
      </c>
      <c r="D193" s="155">
        <v>45554</v>
      </c>
      <c r="E193" s="127" t="s">
        <v>287</v>
      </c>
      <c r="F193" s="166" t="s">
        <v>290</v>
      </c>
      <c r="G193" s="127"/>
      <c r="H193" s="127"/>
      <c r="I193" s="20" t="s">
        <v>18</v>
      </c>
      <c r="J193" s="127"/>
      <c r="K193" s="142" t="s">
        <v>19</v>
      </c>
      <c r="L193" s="127" t="s">
        <v>209</v>
      </c>
      <c r="M193" s="127"/>
      <c r="N193" s="127"/>
    </row>
    <row r="194" spans="2:14" ht="58.5" customHeight="1" x14ac:dyDescent="0.25">
      <c r="B194" s="85"/>
      <c r="C194" s="155">
        <v>45555</v>
      </c>
      <c r="D194" s="155">
        <v>45554</v>
      </c>
      <c r="E194" s="127" t="s">
        <v>287</v>
      </c>
      <c r="F194" s="166" t="s">
        <v>291</v>
      </c>
      <c r="G194" s="127"/>
      <c r="H194" s="127"/>
      <c r="I194" s="20" t="s">
        <v>18</v>
      </c>
      <c r="J194" s="127"/>
      <c r="K194" s="238" t="s">
        <v>19</v>
      </c>
      <c r="L194" s="127" t="s">
        <v>292</v>
      </c>
      <c r="M194" s="127"/>
      <c r="N194" s="127"/>
    </row>
    <row r="195" spans="2:14" ht="42" customHeight="1" x14ac:dyDescent="0.25">
      <c r="B195" s="85"/>
      <c r="C195" s="155">
        <v>45555</v>
      </c>
      <c r="D195" s="155">
        <v>45554</v>
      </c>
      <c r="E195" s="127" t="s">
        <v>287</v>
      </c>
      <c r="F195" s="166" t="s">
        <v>293</v>
      </c>
      <c r="G195" s="127"/>
      <c r="H195" s="127"/>
      <c r="I195" s="20" t="s">
        <v>18</v>
      </c>
      <c r="J195" s="127"/>
      <c r="K195" s="88" t="s">
        <v>19</v>
      </c>
      <c r="L195" s="127" t="s">
        <v>294</v>
      </c>
      <c r="M195" s="127"/>
      <c r="N195" s="127"/>
    </row>
    <row r="196" spans="2:14" ht="70.5" hidden="1" customHeight="1" x14ac:dyDescent="0.25">
      <c r="B196" s="85">
        <v>191</v>
      </c>
      <c r="C196" s="155">
        <v>45555</v>
      </c>
      <c r="D196" s="155">
        <v>45554</v>
      </c>
      <c r="E196" s="127" t="s">
        <v>287</v>
      </c>
      <c r="F196" s="166" t="s">
        <v>295</v>
      </c>
      <c r="G196" s="127"/>
      <c r="H196" s="127"/>
      <c r="I196" s="20" t="s">
        <v>18</v>
      </c>
      <c r="J196" s="127"/>
      <c r="K196" s="88" t="s">
        <v>19</v>
      </c>
      <c r="L196" s="127" t="s">
        <v>20</v>
      </c>
      <c r="M196" s="127"/>
      <c r="N196" s="127"/>
    </row>
    <row r="197" spans="2:14" ht="51" hidden="1" customHeight="1" x14ac:dyDescent="0.25">
      <c r="B197" s="85">
        <v>192</v>
      </c>
      <c r="C197" s="155">
        <v>45555</v>
      </c>
      <c r="D197" s="155">
        <v>45554</v>
      </c>
      <c r="E197" s="127" t="s">
        <v>287</v>
      </c>
      <c r="F197" s="166" t="s">
        <v>296</v>
      </c>
      <c r="G197" s="127"/>
      <c r="H197" s="127"/>
      <c r="I197" s="20" t="s">
        <v>18</v>
      </c>
      <c r="J197" s="127"/>
      <c r="K197" s="88" t="s">
        <v>19</v>
      </c>
      <c r="L197" s="127" t="s">
        <v>20</v>
      </c>
      <c r="M197" s="127"/>
      <c r="N197" s="127"/>
    </row>
    <row r="198" spans="2:14" ht="176.25" customHeight="1" x14ac:dyDescent="0.25">
      <c r="B198" s="85">
        <v>193</v>
      </c>
      <c r="C198" s="155">
        <v>45555</v>
      </c>
      <c r="D198" s="127"/>
      <c r="E198" s="127" t="s">
        <v>16</v>
      </c>
      <c r="F198" s="166" t="s">
        <v>297</v>
      </c>
      <c r="G198" s="127"/>
      <c r="H198" s="127"/>
      <c r="I198" s="20" t="s">
        <v>18</v>
      </c>
      <c r="J198" s="127"/>
      <c r="K198" s="192" t="s">
        <v>114</v>
      </c>
      <c r="L198" s="127" t="s">
        <v>298</v>
      </c>
      <c r="M198" s="127"/>
      <c r="N198" s="127" t="str">
        <f t="shared" ca="1" si="7"/>
        <v>10 months, 24 days</v>
      </c>
    </row>
    <row r="199" spans="2:14" ht="53.25" customHeight="1" x14ac:dyDescent="0.25">
      <c r="B199" s="85">
        <v>194</v>
      </c>
      <c r="C199" s="155">
        <v>45555</v>
      </c>
      <c r="D199" s="127"/>
      <c r="E199" s="127" t="s">
        <v>16</v>
      </c>
      <c r="F199" s="166" t="s">
        <v>299</v>
      </c>
      <c r="G199" s="127"/>
      <c r="H199" s="95"/>
      <c r="I199" s="20" t="s">
        <v>18</v>
      </c>
      <c r="J199" s="127"/>
      <c r="K199" s="142" t="s">
        <v>19</v>
      </c>
      <c r="L199" s="127" t="s">
        <v>140</v>
      </c>
      <c r="M199" s="127"/>
      <c r="N199" s="127"/>
    </row>
    <row r="200" spans="2:14" ht="126" hidden="1" x14ac:dyDescent="0.25">
      <c r="B200" s="85">
        <v>195</v>
      </c>
      <c r="C200" s="165">
        <v>45557</v>
      </c>
      <c r="D200" s="127"/>
      <c r="E200" s="127" t="s">
        <v>16</v>
      </c>
      <c r="F200" s="166" t="s">
        <v>300</v>
      </c>
      <c r="G200" s="127"/>
      <c r="I200" s="20" t="s">
        <v>18</v>
      </c>
      <c r="J200" s="127"/>
      <c r="K200" s="88" t="s">
        <v>19</v>
      </c>
      <c r="L200" s="127" t="s">
        <v>251</v>
      </c>
      <c r="M200" s="127"/>
      <c r="N200" s="127"/>
    </row>
    <row r="201" spans="2:14" ht="132" hidden="1" customHeight="1" x14ac:dyDescent="0.25">
      <c r="B201" s="85">
        <v>196</v>
      </c>
      <c r="C201" s="165">
        <v>45558</v>
      </c>
      <c r="D201" s="127"/>
      <c r="E201" s="127" t="s">
        <v>301</v>
      </c>
      <c r="F201" s="166" t="s">
        <v>302</v>
      </c>
      <c r="G201" s="127"/>
      <c r="H201" s="127"/>
      <c r="I201" s="20" t="s">
        <v>18</v>
      </c>
      <c r="J201" s="127"/>
      <c r="K201" s="144" t="s">
        <v>1093</v>
      </c>
      <c r="L201" s="127" t="s">
        <v>251</v>
      </c>
      <c r="M201" s="127"/>
      <c r="N201" s="127"/>
    </row>
    <row r="202" spans="2:14" ht="15.75" hidden="1" x14ac:dyDescent="0.25">
      <c r="B202" s="85">
        <v>197</v>
      </c>
      <c r="C202" s="165">
        <v>45559</v>
      </c>
      <c r="D202" s="127"/>
      <c r="E202" s="127" t="s">
        <v>303</v>
      </c>
      <c r="F202" s="169" t="s">
        <v>304</v>
      </c>
      <c r="G202" s="127"/>
      <c r="H202" s="20" t="s">
        <v>18</v>
      </c>
      <c r="I202" s="127"/>
      <c r="J202" s="127"/>
      <c r="K202" s="88" t="s">
        <v>19</v>
      </c>
      <c r="L202" s="127" t="s">
        <v>79</v>
      </c>
      <c r="M202" s="127"/>
      <c r="N202" s="127" t="str">
        <f t="shared" ca="1" si="7"/>
        <v>10 months, 20 days</v>
      </c>
    </row>
    <row r="203" spans="2:14" ht="15.75" hidden="1" x14ac:dyDescent="0.25">
      <c r="B203" s="85">
        <v>198</v>
      </c>
      <c r="C203" s="165">
        <v>45559</v>
      </c>
      <c r="D203" s="127"/>
      <c r="E203" s="127" t="s">
        <v>303</v>
      </c>
      <c r="F203" s="169" t="s">
        <v>305</v>
      </c>
      <c r="G203" s="127"/>
      <c r="H203" s="20" t="s">
        <v>18</v>
      </c>
      <c r="I203" s="127"/>
      <c r="J203" s="127"/>
      <c r="K203" s="88" t="s">
        <v>19</v>
      </c>
      <c r="L203" s="127" t="s">
        <v>79</v>
      </c>
      <c r="M203" s="127"/>
      <c r="N203" s="127" t="str">
        <f t="shared" ca="1" si="7"/>
        <v>10 months, 20 days</v>
      </c>
    </row>
    <row r="204" spans="2:14" ht="15.75" hidden="1" x14ac:dyDescent="0.25">
      <c r="B204" s="85">
        <v>199</v>
      </c>
      <c r="C204" s="165">
        <v>45559</v>
      </c>
      <c r="D204" s="127"/>
      <c r="E204" s="127" t="s">
        <v>303</v>
      </c>
      <c r="F204" s="169" t="s">
        <v>306</v>
      </c>
      <c r="G204" s="127"/>
      <c r="H204" s="20" t="s">
        <v>18</v>
      </c>
      <c r="I204" s="127"/>
      <c r="J204" s="127"/>
      <c r="K204" s="88" t="s">
        <v>19</v>
      </c>
      <c r="L204" s="127" t="s">
        <v>79</v>
      </c>
      <c r="M204" s="127"/>
      <c r="N204" s="127" t="str">
        <f t="shared" ca="1" si="7"/>
        <v>10 months, 20 days</v>
      </c>
    </row>
    <row r="205" spans="2:14" ht="31.5" hidden="1" x14ac:dyDescent="0.25">
      <c r="B205" s="85">
        <v>200</v>
      </c>
      <c r="C205" s="165">
        <v>45559</v>
      </c>
      <c r="D205" s="127"/>
      <c r="E205" s="127" t="s">
        <v>34</v>
      </c>
      <c r="F205" s="166" t="s">
        <v>307</v>
      </c>
      <c r="G205" s="127"/>
      <c r="H205" s="127"/>
      <c r="I205" s="127"/>
      <c r="J205" s="20" t="s">
        <v>18</v>
      </c>
      <c r="K205" s="142" t="s">
        <v>29</v>
      </c>
      <c r="L205" s="127" t="s">
        <v>251</v>
      </c>
      <c r="M205" s="127"/>
      <c r="N205" s="127"/>
    </row>
    <row r="206" spans="2:14" ht="31.5" hidden="1" x14ac:dyDescent="0.25">
      <c r="B206" s="85">
        <v>201</v>
      </c>
      <c r="C206" s="165">
        <v>45559</v>
      </c>
      <c r="D206" s="127"/>
      <c r="E206" s="127" t="s">
        <v>34</v>
      </c>
      <c r="F206" s="166" t="s">
        <v>308</v>
      </c>
      <c r="G206" s="127"/>
      <c r="H206" s="127"/>
      <c r="I206" s="127"/>
      <c r="J206" s="20" t="s">
        <v>18</v>
      </c>
      <c r="K206" s="142" t="s">
        <v>29</v>
      </c>
      <c r="L206" s="127" t="s">
        <v>251</v>
      </c>
      <c r="M206" s="127"/>
      <c r="N206" s="127"/>
    </row>
    <row r="207" spans="2:14" ht="46.5" hidden="1" customHeight="1" x14ac:dyDescent="0.25">
      <c r="B207" s="85">
        <v>202</v>
      </c>
      <c r="C207" s="199">
        <v>45561</v>
      </c>
      <c r="D207" s="127"/>
      <c r="E207" s="127" t="s">
        <v>851</v>
      </c>
      <c r="F207" s="221" t="s">
        <v>850</v>
      </c>
      <c r="G207" s="127"/>
      <c r="H207" s="95"/>
      <c r="I207" s="20" t="s">
        <v>18</v>
      </c>
      <c r="J207" s="127"/>
      <c r="K207" s="88" t="s">
        <v>19</v>
      </c>
      <c r="L207" s="166" t="s">
        <v>859</v>
      </c>
      <c r="M207" s="127"/>
      <c r="N207" s="127" t="str">
        <f t="shared" ref="N207:N219" ca="1" si="8">DATEDIF(C207, TODAY(), "m") &amp; " months, " &amp; DATEDIF(C207, TODAY(), "md") &amp; " days"</f>
        <v>10 months, 18 days</v>
      </c>
    </row>
    <row r="208" spans="2:14" ht="45.75" hidden="1" customHeight="1" x14ac:dyDescent="0.25">
      <c r="B208" s="85">
        <v>203</v>
      </c>
      <c r="C208" s="199">
        <v>45561</v>
      </c>
      <c r="D208" s="127"/>
      <c r="E208" s="127" t="s">
        <v>851</v>
      </c>
      <c r="F208" s="150" t="s">
        <v>857</v>
      </c>
      <c r="G208" s="127"/>
      <c r="H208" s="95"/>
      <c r="I208" s="20" t="s">
        <v>18</v>
      </c>
      <c r="J208" s="127"/>
      <c r="K208" s="192" t="s">
        <v>1079</v>
      </c>
      <c r="L208" s="166" t="s">
        <v>860</v>
      </c>
      <c r="M208" s="32" t="s">
        <v>1080</v>
      </c>
      <c r="N208" s="127"/>
    </row>
    <row r="209" spans="2:14" ht="47.25" hidden="1" x14ac:dyDescent="0.25">
      <c r="B209" s="85">
        <v>204</v>
      </c>
      <c r="C209" s="199">
        <v>45561</v>
      </c>
      <c r="D209" s="127"/>
      <c r="E209" s="127" t="s">
        <v>851</v>
      </c>
      <c r="F209" s="166" t="s">
        <v>852</v>
      </c>
      <c r="G209" s="127"/>
      <c r="H209" s="95"/>
      <c r="I209" s="20" t="s">
        <v>18</v>
      </c>
      <c r="J209" s="127"/>
      <c r="K209" s="88" t="s">
        <v>19</v>
      </c>
      <c r="L209" s="166" t="s">
        <v>860</v>
      </c>
      <c r="M209" s="32" t="s">
        <v>1080</v>
      </c>
      <c r="N209" s="127"/>
    </row>
    <row r="210" spans="2:14" ht="15.75" hidden="1" x14ac:dyDescent="0.25">
      <c r="B210" s="85">
        <v>205</v>
      </c>
      <c r="C210" s="199">
        <v>45561</v>
      </c>
      <c r="D210" s="127"/>
      <c r="E210" s="127" t="s">
        <v>851</v>
      </c>
      <c r="F210" s="166" t="s">
        <v>853</v>
      </c>
      <c r="G210" s="127"/>
      <c r="H210" s="95"/>
      <c r="I210" s="20" t="s">
        <v>18</v>
      </c>
      <c r="J210" s="127"/>
      <c r="K210" s="88" t="s">
        <v>19</v>
      </c>
      <c r="L210" s="166" t="s">
        <v>860</v>
      </c>
      <c r="M210" s="127"/>
      <c r="N210" s="127"/>
    </row>
    <row r="211" spans="2:14" ht="15.75" hidden="1" x14ac:dyDescent="0.25">
      <c r="B211" s="85">
        <v>206</v>
      </c>
      <c r="C211" s="199">
        <v>45561</v>
      </c>
      <c r="D211" s="127"/>
      <c r="E211" s="127" t="s">
        <v>851</v>
      </c>
      <c r="F211" s="166" t="s">
        <v>854</v>
      </c>
      <c r="G211" s="127"/>
      <c r="H211" s="95"/>
      <c r="I211" s="20" t="s">
        <v>18</v>
      </c>
      <c r="J211" s="127"/>
      <c r="K211" s="88" t="s">
        <v>19</v>
      </c>
      <c r="L211" s="166" t="s">
        <v>860</v>
      </c>
      <c r="M211" s="127"/>
      <c r="N211" s="127"/>
    </row>
    <row r="212" spans="2:14" ht="31.5" hidden="1" x14ac:dyDescent="0.25">
      <c r="B212" s="85">
        <v>207</v>
      </c>
      <c r="C212" s="199">
        <v>45561</v>
      </c>
      <c r="D212" s="127"/>
      <c r="E212" s="127" t="s">
        <v>851</v>
      </c>
      <c r="F212" s="166" t="s">
        <v>856</v>
      </c>
      <c r="G212" s="127"/>
      <c r="H212" s="95"/>
      <c r="I212" s="20" t="s">
        <v>18</v>
      </c>
      <c r="J212" s="127"/>
      <c r="K212" s="88" t="s">
        <v>19</v>
      </c>
      <c r="L212" s="127" t="s">
        <v>237</v>
      </c>
      <c r="M212" s="127"/>
      <c r="N212" s="127" t="str">
        <f t="shared" ca="1" si="8"/>
        <v>10 months, 18 days</v>
      </c>
    </row>
    <row r="213" spans="2:14" ht="47.25" hidden="1" x14ac:dyDescent="0.25">
      <c r="B213" s="85">
        <v>208</v>
      </c>
      <c r="C213" s="199">
        <v>45561</v>
      </c>
      <c r="D213" s="127"/>
      <c r="E213" s="127" t="s">
        <v>851</v>
      </c>
      <c r="F213" s="166" t="s">
        <v>855</v>
      </c>
      <c r="G213" s="127"/>
      <c r="H213" s="95"/>
      <c r="I213" s="20" t="s">
        <v>18</v>
      </c>
      <c r="J213" s="127"/>
      <c r="K213" s="88" t="s">
        <v>19</v>
      </c>
      <c r="L213" s="127" t="s">
        <v>861</v>
      </c>
      <c r="M213" s="127"/>
      <c r="N213" s="127"/>
    </row>
    <row r="214" spans="2:14" ht="94.5" hidden="1" x14ac:dyDescent="0.25">
      <c r="B214" s="85">
        <v>209</v>
      </c>
      <c r="C214" s="199">
        <v>45561</v>
      </c>
      <c r="D214" s="127"/>
      <c r="E214" s="127" t="s">
        <v>851</v>
      </c>
      <c r="F214" s="166" t="s">
        <v>858</v>
      </c>
      <c r="G214" s="127"/>
      <c r="H214" s="95"/>
      <c r="I214" s="20" t="s">
        <v>18</v>
      </c>
      <c r="J214" s="127"/>
      <c r="K214" s="142" t="s">
        <v>19</v>
      </c>
      <c r="L214" s="127" t="s">
        <v>862</v>
      </c>
      <c r="M214" s="127" t="s">
        <v>863</v>
      </c>
      <c r="N214" s="127"/>
    </row>
    <row r="215" spans="2:14" ht="31.5" hidden="1" x14ac:dyDescent="0.25">
      <c r="B215" s="85">
        <v>210</v>
      </c>
      <c r="C215" s="199">
        <v>45568</v>
      </c>
      <c r="D215" s="165">
        <v>45569</v>
      </c>
      <c r="E215" s="127" t="s">
        <v>77</v>
      </c>
      <c r="F215" s="166" t="s">
        <v>899</v>
      </c>
      <c r="G215" s="20" t="s">
        <v>18</v>
      </c>
      <c r="H215" s="95"/>
      <c r="I215" s="20"/>
      <c r="J215" s="127"/>
      <c r="K215" s="142" t="s">
        <v>22</v>
      </c>
      <c r="L215" s="127" t="s">
        <v>79</v>
      </c>
      <c r="M215" s="127"/>
      <c r="N215" s="127"/>
    </row>
    <row r="216" spans="2:14" ht="167.25" hidden="1" customHeight="1" x14ac:dyDescent="0.25">
      <c r="B216" s="85">
        <v>211</v>
      </c>
      <c r="C216" s="165">
        <v>45572</v>
      </c>
      <c r="D216" s="165">
        <v>45570</v>
      </c>
      <c r="E216" s="127" t="s">
        <v>16</v>
      </c>
      <c r="F216" s="166" t="s">
        <v>874</v>
      </c>
      <c r="G216" s="127"/>
      <c r="H216" s="127"/>
      <c r="I216" s="20" t="s">
        <v>18</v>
      </c>
      <c r="J216" s="127"/>
      <c r="K216" s="88" t="s">
        <v>19</v>
      </c>
      <c r="L216" s="127" t="s">
        <v>861</v>
      </c>
      <c r="M216" s="127"/>
      <c r="N216" s="127"/>
    </row>
    <row r="217" spans="2:14" ht="78.75" hidden="1" x14ac:dyDescent="0.25">
      <c r="B217" s="85">
        <v>212</v>
      </c>
      <c r="C217" s="165">
        <v>45572</v>
      </c>
      <c r="D217" s="127"/>
      <c r="E217" s="127" t="s">
        <v>16</v>
      </c>
      <c r="F217" s="166" t="s">
        <v>877</v>
      </c>
      <c r="G217" s="127"/>
      <c r="H217" s="127"/>
      <c r="I217" s="20" t="s">
        <v>18</v>
      </c>
      <c r="J217" s="127"/>
      <c r="K217" s="142" t="s">
        <v>22</v>
      </c>
      <c r="L217" s="127" t="s">
        <v>209</v>
      </c>
      <c r="M217" s="127"/>
      <c r="N217" s="127"/>
    </row>
    <row r="218" spans="2:14" ht="31.5" hidden="1" x14ac:dyDescent="0.25">
      <c r="B218" s="85">
        <v>213</v>
      </c>
      <c r="C218" s="165">
        <v>45574</v>
      </c>
      <c r="D218" s="165">
        <v>45570</v>
      </c>
      <c r="E218" s="127" t="s">
        <v>34</v>
      </c>
      <c r="F218" s="166" t="s">
        <v>878</v>
      </c>
      <c r="G218" s="127"/>
      <c r="H218" s="127"/>
      <c r="I218" s="127"/>
      <c r="J218" s="20" t="s">
        <v>18</v>
      </c>
      <c r="K218" s="142" t="s">
        <v>29</v>
      </c>
      <c r="L218" s="127" t="s">
        <v>251</v>
      </c>
      <c r="M218" s="127"/>
      <c r="N218" s="127"/>
    </row>
    <row r="219" spans="2:14" ht="252" hidden="1" x14ac:dyDescent="0.25">
      <c r="B219" s="85">
        <v>214</v>
      </c>
      <c r="C219" s="165">
        <v>45572</v>
      </c>
      <c r="D219" s="127"/>
      <c r="E219" s="127" t="s">
        <v>16</v>
      </c>
      <c r="F219" s="166" t="s">
        <v>881</v>
      </c>
      <c r="G219" s="127"/>
      <c r="H219" s="127"/>
      <c r="I219" s="20" t="s">
        <v>18</v>
      </c>
      <c r="J219" s="127"/>
      <c r="K219" s="225" t="s">
        <v>25</v>
      </c>
      <c r="L219" s="147" t="s">
        <v>280</v>
      </c>
      <c r="M219" s="127" t="s">
        <v>882</v>
      </c>
      <c r="N219" s="127" t="str">
        <f t="shared" ca="1" si="8"/>
        <v>10 months, 6 days</v>
      </c>
    </row>
    <row r="220" spans="2:14" ht="31.5" hidden="1" x14ac:dyDescent="0.25">
      <c r="B220" s="85">
        <v>215</v>
      </c>
      <c r="C220" s="165">
        <v>45579</v>
      </c>
      <c r="D220" s="127"/>
      <c r="E220" s="127" t="s">
        <v>34</v>
      </c>
      <c r="F220" s="166" t="s">
        <v>883</v>
      </c>
      <c r="G220" s="127"/>
      <c r="H220" s="127"/>
      <c r="I220" s="127"/>
      <c r="J220" s="20" t="s">
        <v>18</v>
      </c>
      <c r="K220" s="142" t="s">
        <v>29</v>
      </c>
      <c r="L220" s="127" t="s">
        <v>251</v>
      </c>
      <c r="M220" s="127"/>
      <c r="N220" s="127"/>
    </row>
    <row r="221" spans="2:14" ht="110.25" hidden="1" x14ac:dyDescent="0.25">
      <c r="B221" s="85">
        <v>216</v>
      </c>
      <c r="C221" s="165">
        <v>45579</v>
      </c>
      <c r="D221" s="127"/>
      <c r="E221" s="127" t="s">
        <v>34</v>
      </c>
      <c r="F221" s="166" t="s">
        <v>884</v>
      </c>
      <c r="G221" s="127"/>
      <c r="H221" s="127"/>
      <c r="I221" s="127"/>
      <c r="J221" s="20" t="s">
        <v>18</v>
      </c>
      <c r="K221" s="142" t="s">
        <v>29</v>
      </c>
      <c r="L221" s="127" t="s">
        <v>251</v>
      </c>
      <c r="M221" s="127"/>
      <c r="N221" s="127"/>
    </row>
    <row r="222" spans="2:14" ht="47.25" hidden="1" x14ac:dyDescent="0.25">
      <c r="B222" s="85">
        <v>217</v>
      </c>
      <c r="C222" s="165">
        <v>45585</v>
      </c>
      <c r="D222" s="127"/>
      <c r="E222" s="127" t="s">
        <v>34</v>
      </c>
      <c r="F222" s="166" t="s">
        <v>885</v>
      </c>
      <c r="G222" s="127"/>
      <c r="H222" s="127"/>
      <c r="I222" s="127"/>
      <c r="J222" s="20" t="s">
        <v>18</v>
      </c>
      <c r="K222" s="142" t="s">
        <v>29</v>
      </c>
      <c r="L222" s="127" t="s">
        <v>251</v>
      </c>
      <c r="M222" s="127"/>
      <c r="N222" s="127"/>
    </row>
    <row r="223" spans="2:14" ht="31.5" hidden="1" x14ac:dyDescent="0.25">
      <c r="B223" s="85">
        <v>218</v>
      </c>
      <c r="C223" s="165">
        <v>45585</v>
      </c>
      <c r="D223" s="127"/>
      <c r="E223" s="127" t="s">
        <v>34</v>
      </c>
      <c r="F223" s="166" t="s">
        <v>886</v>
      </c>
      <c r="G223" s="127"/>
      <c r="H223" s="127"/>
      <c r="I223" s="127"/>
      <c r="J223" s="127"/>
      <c r="K223" s="142" t="s">
        <v>29</v>
      </c>
      <c r="L223" s="127" t="s">
        <v>251</v>
      </c>
      <c r="M223" s="127"/>
      <c r="N223" s="127"/>
    </row>
    <row r="224" spans="2:14" ht="229.5" hidden="1" customHeight="1" x14ac:dyDescent="0.25">
      <c r="B224" s="85">
        <v>219</v>
      </c>
      <c r="C224" s="165">
        <v>45586</v>
      </c>
      <c r="D224" s="127"/>
      <c r="E224" s="127" t="s">
        <v>896</v>
      </c>
      <c r="F224" s="166" t="s">
        <v>897</v>
      </c>
      <c r="G224" s="127"/>
      <c r="H224" s="127"/>
      <c r="I224" s="20" t="s">
        <v>18</v>
      </c>
      <c r="J224" s="127"/>
      <c r="K224" s="142" t="s">
        <v>19</v>
      </c>
      <c r="L224" s="127" t="s">
        <v>251</v>
      </c>
      <c r="M224" s="127" t="s">
        <v>898</v>
      </c>
      <c r="N224" s="127"/>
    </row>
    <row r="225" spans="2:14" ht="94.5" x14ac:dyDescent="0.25">
      <c r="B225" s="85">
        <v>220</v>
      </c>
      <c r="C225" s="127" t="s">
        <v>903</v>
      </c>
      <c r="D225" s="127"/>
      <c r="E225" s="127" t="s">
        <v>16</v>
      </c>
      <c r="F225" s="166" t="s">
        <v>904</v>
      </c>
      <c r="H225" s="127"/>
      <c r="I225" s="127" t="s">
        <v>18</v>
      </c>
      <c r="J225" s="127"/>
      <c r="K225" s="192" t="s">
        <v>114</v>
      </c>
      <c r="L225" s="127" t="s">
        <v>99</v>
      </c>
      <c r="M225" s="127"/>
      <c r="N225" s="127" t="e">
        <f t="shared" ref="N225" ca="1" si="9">DATEDIF(C225, TODAY(), "m") &amp; " months, " &amp; DATEDIF(C225, TODAY(), "md") &amp; " days"</f>
        <v>#VALUE!</v>
      </c>
    </row>
    <row r="226" spans="2:14" ht="126" x14ac:dyDescent="0.25">
      <c r="B226" s="85">
        <v>221</v>
      </c>
      <c r="C226" s="127" t="s">
        <v>903</v>
      </c>
      <c r="D226" s="127"/>
      <c r="E226" s="127" t="s">
        <v>16</v>
      </c>
      <c r="F226" s="166" t="s">
        <v>905</v>
      </c>
      <c r="G226" s="127"/>
      <c r="H226" s="127"/>
      <c r="I226" s="127" t="s">
        <v>18</v>
      </c>
      <c r="J226" s="127"/>
      <c r="K226" s="192" t="s">
        <v>114</v>
      </c>
      <c r="L226" s="127" t="s">
        <v>99</v>
      </c>
      <c r="M226" s="127"/>
      <c r="N226" s="127" t="e">
        <f ca="1">DATEDIF(C226, TODAY(), "m") &amp; " months, " &amp; DATEDIF(C226, TODAY(), "md") &amp; " days"</f>
        <v>#VALUE!</v>
      </c>
    </row>
    <row r="227" spans="2:14" ht="217.5" customHeight="1" x14ac:dyDescent="0.25">
      <c r="B227" s="85">
        <v>222</v>
      </c>
      <c r="C227" s="127" t="s">
        <v>903</v>
      </c>
      <c r="D227" s="127"/>
      <c r="E227" s="127" t="s">
        <v>16</v>
      </c>
      <c r="F227" s="166" t="s">
        <v>906</v>
      </c>
      <c r="G227" s="127"/>
      <c r="H227" s="127"/>
      <c r="I227" s="127" t="s">
        <v>18</v>
      </c>
      <c r="J227" s="127"/>
      <c r="K227" s="192" t="s">
        <v>114</v>
      </c>
      <c r="L227" s="127" t="s">
        <v>910</v>
      </c>
      <c r="M227" s="127"/>
      <c r="N227" s="127" t="e">
        <f ca="1">DATEDIF(C227, TODAY(), "m") &amp; " months, " &amp; DATEDIF(C227, TODAY(), "md") &amp; " days"</f>
        <v>#VALUE!</v>
      </c>
    </row>
    <row r="228" spans="2:14" ht="141.75" hidden="1" customHeight="1" x14ac:dyDescent="0.25">
      <c r="B228" s="85">
        <v>223</v>
      </c>
      <c r="C228" s="165">
        <v>45423</v>
      </c>
      <c r="D228" s="127"/>
      <c r="E228" s="127" t="s">
        <v>16</v>
      </c>
      <c r="F228" s="166" t="s">
        <v>933</v>
      </c>
      <c r="G228" s="127"/>
      <c r="H228" s="127"/>
      <c r="I228" s="127" t="s">
        <v>18</v>
      </c>
      <c r="J228" s="127"/>
      <c r="K228" s="225" t="s">
        <v>25</v>
      </c>
      <c r="L228" s="147" t="s">
        <v>280</v>
      </c>
      <c r="M228" s="127"/>
      <c r="N228" s="127"/>
    </row>
    <row r="229" spans="2:14" ht="68.25" customHeight="1" x14ac:dyDescent="0.25">
      <c r="B229" s="85">
        <v>224</v>
      </c>
      <c r="C229" s="165">
        <v>45576</v>
      </c>
      <c r="D229" s="127"/>
      <c r="E229" s="127" t="s">
        <v>16</v>
      </c>
      <c r="F229" s="166" t="s">
        <v>922</v>
      </c>
      <c r="G229" s="127"/>
      <c r="H229" s="127"/>
      <c r="I229" s="127" t="s">
        <v>18</v>
      </c>
      <c r="J229" s="127"/>
      <c r="K229" s="192" t="s">
        <v>114</v>
      </c>
      <c r="L229" s="127" t="s">
        <v>140</v>
      </c>
      <c r="M229" s="127"/>
      <c r="N229" s="127"/>
    </row>
    <row r="230" spans="2:14" ht="31.5" hidden="1" x14ac:dyDescent="0.25">
      <c r="B230" s="85">
        <v>225</v>
      </c>
      <c r="C230" s="165">
        <v>45637</v>
      </c>
      <c r="D230" s="127"/>
      <c r="E230" s="127" t="s">
        <v>34</v>
      </c>
      <c r="F230" s="166" t="s">
        <v>911</v>
      </c>
      <c r="G230" s="127"/>
      <c r="H230" s="127"/>
      <c r="I230" s="127"/>
      <c r="J230" s="127" t="s">
        <v>18</v>
      </c>
      <c r="K230" s="142" t="s">
        <v>29</v>
      </c>
      <c r="L230" s="127" t="s">
        <v>251</v>
      </c>
      <c r="M230" s="127"/>
      <c r="N230" s="127"/>
    </row>
    <row r="231" spans="2:14" ht="102.75" hidden="1" customHeight="1" x14ac:dyDescent="0.25">
      <c r="B231" s="85">
        <v>226</v>
      </c>
      <c r="C231" s="165" t="s">
        <v>930</v>
      </c>
      <c r="D231" s="127"/>
      <c r="E231" s="127" t="s">
        <v>16</v>
      </c>
      <c r="F231" s="166" t="s">
        <v>931</v>
      </c>
      <c r="G231" s="127"/>
      <c r="H231" s="127"/>
      <c r="I231" s="127" t="s">
        <v>18</v>
      </c>
      <c r="J231" s="127"/>
      <c r="K231" s="142" t="s">
        <v>19</v>
      </c>
      <c r="L231" s="127" t="s">
        <v>251</v>
      </c>
      <c r="M231" s="127"/>
      <c r="N231" s="127"/>
    </row>
    <row r="232" spans="2:14" ht="110.25" hidden="1" x14ac:dyDescent="0.25">
      <c r="B232" s="85">
        <v>227</v>
      </c>
      <c r="C232" s="127" t="s">
        <v>913</v>
      </c>
      <c r="D232" s="127"/>
      <c r="E232" s="127" t="s">
        <v>16</v>
      </c>
      <c r="F232" s="166" t="s">
        <v>914</v>
      </c>
      <c r="G232" s="127"/>
      <c r="H232" s="127"/>
      <c r="I232" s="127" t="s">
        <v>18</v>
      </c>
      <c r="J232" s="127"/>
      <c r="K232" s="192" t="s">
        <v>114</v>
      </c>
      <c r="L232" s="127" t="s">
        <v>53</v>
      </c>
      <c r="M232" s="127"/>
      <c r="N232" s="127" t="e">
        <f ca="1">DATEDIF(C233, TODAY(), "m") &amp; " months, " &amp; DATEDIF(C233, TODAY(), "md") &amp; " days"</f>
        <v>#VALUE!</v>
      </c>
    </row>
    <row r="233" spans="2:14" ht="47.25" hidden="1" x14ac:dyDescent="0.25">
      <c r="B233" s="85">
        <v>228</v>
      </c>
      <c r="C233" s="20" t="s">
        <v>917</v>
      </c>
      <c r="D233" s="127"/>
      <c r="E233" s="127" t="s">
        <v>34</v>
      </c>
      <c r="F233" s="166" t="s">
        <v>918</v>
      </c>
      <c r="G233" s="127"/>
      <c r="H233" s="127"/>
      <c r="I233" s="127"/>
      <c r="J233" s="127" t="s">
        <v>18</v>
      </c>
      <c r="K233" s="235" t="s">
        <v>22</v>
      </c>
      <c r="L233" s="127" t="s">
        <v>251</v>
      </c>
      <c r="M233" s="127"/>
      <c r="N233" s="127"/>
    </row>
    <row r="234" spans="2:14" ht="47.25" x14ac:dyDescent="0.25">
      <c r="B234" s="85">
        <v>228</v>
      </c>
      <c r="C234" s="165" t="s">
        <v>923</v>
      </c>
      <c r="D234" s="127"/>
      <c r="E234" s="127" t="s">
        <v>16</v>
      </c>
      <c r="F234" s="166" t="s">
        <v>922</v>
      </c>
      <c r="G234" s="127"/>
      <c r="H234" s="127"/>
      <c r="I234" s="127" t="s">
        <v>18</v>
      </c>
      <c r="J234" s="127"/>
      <c r="K234" s="192" t="s">
        <v>114</v>
      </c>
      <c r="L234" s="127" t="s">
        <v>140</v>
      </c>
      <c r="M234" s="127"/>
      <c r="N234" s="127" t="e">
        <f t="shared" ref="N234" ca="1" si="10">DATEDIF(C234, TODAY(), "m") &amp; " months, " &amp; DATEDIF(C234, TODAY(), "md") &amp; " days"</f>
        <v>#VALUE!</v>
      </c>
    </row>
    <row r="235" spans="2:14" ht="52.5" hidden="1" customHeight="1" x14ac:dyDescent="0.25">
      <c r="B235" s="85">
        <v>229</v>
      </c>
      <c r="C235" s="165">
        <v>45629</v>
      </c>
      <c r="D235" s="165">
        <v>45334</v>
      </c>
      <c r="E235" s="127" t="s">
        <v>34</v>
      </c>
      <c r="F235" s="166" t="s">
        <v>939</v>
      </c>
      <c r="G235" s="127"/>
      <c r="H235" s="127"/>
      <c r="I235" s="127"/>
      <c r="J235" s="127" t="s">
        <v>18</v>
      </c>
      <c r="K235" s="235" t="s">
        <v>22</v>
      </c>
      <c r="L235" s="127" t="s">
        <v>251</v>
      </c>
      <c r="M235" s="127"/>
      <c r="N235" s="127"/>
    </row>
    <row r="236" spans="2:14" ht="94.5" hidden="1" x14ac:dyDescent="0.25">
      <c r="B236" s="85">
        <v>230</v>
      </c>
      <c r="C236" s="165">
        <v>45629</v>
      </c>
      <c r="D236" s="127"/>
      <c r="E236" s="127" t="s">
        <v>16</v>
      </c>
      <c r="F236" s="230" t="s">
        <v>942</v>
      </c>
      <c r="G236" s="127"/>
      <c r="H236" s="127"/>
      <c r="I236" s="127" t="s">
        <v>18</v>
      </c>
      <c r="J236" s="127"/>
      <c r="K236" s="235" t="s">
        <v>22</v>
      </c>
      <c r="L236" s="127" t="s">
        <v>237</v>
      </c>
      <c r="M236" s="127"/>
      <c r="N236" s="127" t="str">
        <f ca="1">DATEDIF(C236, TODAY(), "m") &amp; " months, " &amp; DATEDIF(C236, TODAY(), "md") &amp; " days"</f>
        <v>8 months, 10 days</v>
      </c>
    </row>
    <row r="237" spans="2:14" ht="94.5" hidden="1" x14ac:dyDescent="0.25">
      <c r="B237" s="85">
        <v>231</v>
      </c>
      <c r="C237" s="165">
        <v>45631</v>
      </c>
      <c r="D237" s="127"/>
      <c r="E237" s="127" t="s">
        <v>77</v>
      </c>
      <c r="F237" s="166" t="s">
        <v>943</v>
      </c>
      <c r="G237" s="127" t="s">
        <v>18</v>
      </c>
      <c r="H237" s="127"/>
      <c r="I237" s="127"/>
      <c r="J237" s="127"/>
      <c r="K237" s="142" t="s">
        <v>19</v>
      </c>
      <c r="L237" s="127" t="s">
        <v>79</v>
      </c>
      <c r="M237" s="127"/>
      <c r="N237" s="127"/>
    </row>
    <row r="238" spans="2:14" ht="47.25" hidden="1" x14ac:dyDescent="0.25">
      <c r="B238" s="85">
        <v>232</v>
      </c>
      <c r="C238" s="165">
        <v>45634</v>
      </c>
      <c r="D238" s="127" t="s">
        <v>1002</v>
      </c>
      <c r="E238" s="108" t="s">
        <v>949</v>
      </c>
      <c r="F238" s="166" t="s">
        <v>948</v>
      </c>
      <c r="G238" s="127"/>
      <c r="H238" s="127"/>
      <c r="I238" s="127"/>
      <c r="J238" s="127"/>
      <c r="K238" s="88" t="s">
        <v>19</v>
      </c>
      <c r="L238" s="171" t="s">
        <v>1067</v>
      </c>
      <c r="M238" s="127"/>
      <c r="N238" s="127"/>
    </row>
    <row r="239" spans="2:14" ht="47.25" x14ac:dyDescent="0.25">
      <c r="B239" s="85">
        <v>233</v>
      </c>
      <c r="C239" s="165">
        <v>45634</v>
      </c>
      <c r="D239" s="127" t="s">
        <v>1002</v>
      </c>
      <c r="E239" s="108" t="s">
        <v>949</v>
      </c>
      <c r="F239" s="166" t="s">
        <v>950</v>
      </c>
      <c r="G239" s="127"/>
      <c r="H239" s="127"/>
      <c r="I239" s="127"/>
      <c r="J239" s="127"/>
      <c r="K239" s="88" t="s">
        <v>19</v>
      </c>
      <c r="L239" s="127" t="s">
        <v>59</v>
      </c>
      <c r="M239" s="127"/>
      <c r="N239" s="127" t="str">
        <f t="shared" ref="N239:N280" ca="1" si="11">DATEDIF(C240, TODAY(), "m") &amp; " months, " &amp; DATEDIF(C240, TODAY(), "md") &amp; " days"</f>
        <v>8 months, 5 days</v>
      </c>
    </row>
    <row r="240" spans="2:14" ht="47.25" hidden="1" x14ac:dyDescent="0.25">
      <c r="B240" s="85">
        <v>234</v>
      </c>
      <c r="C240" s="165">
        <v>45634</v>
      </c>
      <c r="D240" s="127" t="s">
        <v>1002</v>
      </c>
      <c r="E240" s="108" t="s">
        <v>949</v>
      </c>
      <c r="F240" s="166" t="s">
        <v>951</v>
      </c>
      <c r="G240" s="127"/>
      <c r="H240" s="127"/>
      <c r="I240" s="127"/>
      <c r="J240" s="127"/>
      <c r="K240" s="88" t="s">
        <v>19</v>
      </c>
      <c r="L240" s="127" t="s">
        <v>424</v>
      </c>
      <c r="M240" s="127"/>
      <c r="N240" s="127" t="str">
        <f t="shared" ca="1" si="11"/>
        <v>8 months, 5 days</v>
      </c>
    </row>
    <row r="241" spans="2:14" ht="47.25" hidden="1" x14ac:dyDescent="0.25">
      <c r="B241" s="85">
        <v>235</v>
      </c>
      <c r="C241" s="165">
        <v>45634</v>
      </c>
      <c r="D241" s="127" t="s">
        <v>1002</v>
      </c>
      <c r="E241" s="108" t="s">
        <v>949</v>
      </c>
      <c r="F241" s="166" t="s">
        <v>952</v>
      </c>
      <c r="G241" s="127"/>
      <c r="H241" s="127"/>
      <c r="I241" s="127"/>
      <c r="J241" s="127"/>
      <c r="K241" s="88" t="s">
        <v>19</v>
      </c>
      <c r="L241" s="127" t="s">
        <v>953</v>
      </c>
      <c r="M241" s="127"/>
      <c r="N241" s="127" t="str">
        <f t="shared" ca="1" si="11"/>
        <v>8 months, 5 days</v>
      </c>
    </row>
    <row r="242" spans="2:14" ht="47.25" hidden="1" x14ac:dyDescent="0.25">
      <c r="B242" s="85">
        <v>236</v>
      </c>
      <c r="C242" s="165">
        <v>45634</v>
      </c>
      <c r="D242" s="127" t="s">
        <v>1002</v>
      </c>
      <c r="E242" s="108" t="s">
        <v>949</v>
      </c>
      <c r="F242" s="166" t="s">
        <v>954</v>
      </c>
      <c r="G242" s="127"/>
      <c r="H242" s="127"/>
      <c r="I242" s="127"/>
      <c r="J242" s="127"/>
      <c r="K242" s="126" t="s">
        <v>22</v>
      </c>
      <c r="L242" s="127" t="s">
        <v>221</v>
      </c>
      <c r="M242" s="127"/>
      <c r="N242" s="127"/>
    </row>
    <row r="243" spans="2:14" ht="47.25" hidden="1" x14ac:dyDescent="0.25">
      <c r="B243" s="85">
        <v>237</v>
      </c>
      <c r="C243" s="165">
        <v>45634</v>
      </c>
      <c r="D243" s="127" t="s">
        <v>1002</v>
      </c>
      <c r="E243" s="108" t="s">
        <v>949</v>
      </c>
      <c r="F243" s="166" t="s">
        <v>955</v>
      </c>
      <c r="G243" s="127"/>
      <c r="H243" s="127"/>
      <c r="I243" s="127"/>
      <c r="J243" s="127"/>
      <c r="K243" s="126" t="s">
        <v>22</v>
      </c>
      <c r="L243" s="127" t="s">
        <v>221</v>
      </c>
      <c r="M243" s="127"/>
      <c r="N243" s="127"/>
    </row>
    <row r="244" spans="2:14" ht="94.5" x14ac:dyDescent="0.25">
      <c r="B244" s="85">
        <v>238</v>
      </c>
      <c r="C244" s="165">
        <v>45634</v>
      </c>
      <c r="D244" s="127" t="s">
        <v>1002</v>
      </c>
      <c r="E244" s="108" t="s">
        <v>949</v>
      </c>
      <c r="F244" s="166" t="s">
        <v>956</v>
      </c>
      <c r="G244" s="127"/>
      <c r="H244" s="127"/>
      <c r="I244" s="127"/>
      <c r="J244" s="127"/>
      <c r="K244" s="144" t="s">
        <v>1093</v>
      </c>
      <c r="L244" s="127" t="s">
        <v>1069</v>
      </c>
      <c r="M244" s="127"/>
      <c r="N244" s="127"/>
    </row>
    <row r="245" spans="2:14" ht="47.25" x14ac:dyDescent="0.25">
      <c r="B245" s="85">
        <v>239</v>
      </c>
      <c r="C245" s="165">
        <v>45634</v>
      </c>
      <c r="D245" s="127" t="s">
        <v>1002</v>
      </c>
      <c r="E245" s="108" t="s">
        <v>949</v>
      </c>
      <c r="F245" s="166" t="s">
        <v>958</v>
      </c>
      <c r="G245" s="127"/>
      <c r="H245" s="127"/>
      <c r="I245" s="127"/>
      <c r="J245" s="127"/>
      <c r="K245" s="144" t="s">
        <v>114</v>
      </c>
      <c r="L245" s="127" t="s">
        <v>59</v>
      </c>
      <c r="M245" s="127"/>
      <c r="N245" s="127" t="str">
        <f t="shared" ca="1" si="11"/>
        <v>8 months, 5 days</v>
      </c>
    </row>
    <row r="246" spans="2:14" ht="31.5" hidden="1" x14ac:dyDescent="0.25">
      <c r="B246" s="85">
        <v>240</v>
      </c>
      <c r="C246" s="165">
        <v>45634</v>
      </c>
      <c r="D246" s="127" t="s">
        <v>1002</v>
      </c>
      <c r="E246" s="108" t="s">
        <v>949</v>
      </c>
      <c r="F246" s="166" t="s">
        <v>959</v>
      </c>
      <c r="G246" s="127"/>
      <c r="H246" s="127"/>
      <c r="I246" s="127"/>
      <c r="J246" s="127"/>
      <c r="K246" s="126" t="s">
        <v>22</v>
      </c>
      <c r="L246" s="127" t="s">
        <v>221</v>
      </c>
      <c r="M246" s="127"/>
      <c r="N246" s="127"/>
    </row>
    <row r="247" spans="2:14" ht="47.25" x14ac:dyDescent="0.25">
      <c r="B247" s="85">
        <v>241</v>
      </c>
      <c r="C247" s="165">
        <v>45634</v>
      </c>
      <c r="D247" s="127" t="s">
        <v>1002</v>
      </c>
      <c r="E247" s="108" t="s">
        <v>949</v>
      </c>
      <c r="F247" s="166" t="s">
        <v>960</v>
      </c>
      <c r="G247" s="127"/>
      <c r="H247" s="127"/>
      <c r="I247" s="127"/>
      <c r="J247" s="127"/>
      <c r="K247" s="88" t="s">
        <v>19</v>
      </c>
      <c r="L247" s="127" t="s">
        <v>961</v>
      </c>
      <c r="M247" s="127"/>
      <c r="N247" s="127"/>
    </row>
    <row r="248" spans="2:14" ht="47.25" x14ac:dyDescent="0.25">
      <c r="B248" s="85">
        <v>242</v>
      </c>
      <c r="C248" s="165">
        <v>45634</v>
      </c>
      <c r="D248" s="127" t="s">
        <v>1002</v>
      </c>
      <c r="E248" s="108" t="s">
        <v>949</v>
      </c>
      <c r="F248" s="166" t="s">
        <v>962</v>
      </c>
      <c r="G248" s="127"/>
      <c r="H248" s="127"/>
      <c r="I248" s="127"/>
      <c r="J248" s="127"/>
      <c r="K248" s="88" t="s">
        <v>19</v>
      </c>
      <c r="L248" s="127" t="s">
        <v>59</v>
      </c>
      <c r="M248" s="127"/>
      <c r="N248" s="127" t="str">
        <f t="shared" ca="1" si="11"/>
        <v>8 months, 5 days</v>
      </c>
    </row>
    <row r="249" spans="2:14" ht="31.5" hidden="1" x14ac:dyDescent="0.25">
      <c r="B249" s="85">
        <v>243</v>
      </c>
      <c r="C249" s="165">
        <v>45634</v>
      </c>
      <c r="D249" s="127" t="s">
        <v>1002</v>
      </c>
      <c r="E249" s="108" t="s">
        <v>949</v>
      </c>
      <c r="F249" s="166" t="s">
        <v>963</v>
      </c>
      <c r="G249" s="127"/>
      <c r="H249" s="127"/>
      <c r="I249" s="127"/>
      <c r="J249" s="127"/>
      <c r="K249" s="144" t="s">
        <v>1093</v>
      </c>
      <c r="L249" s="127" t="s">
        <v>1067</v>
      </c>
      <c r="M249" s="127"/>
      <c r="N249" s="127"/>
    </row>
    <row r="250" spans="2:14" ht="47.25" hidden="1" x14ac:dyDescent="0.25">
      <c r="B250" s="85">
        <v>244</v>
      </c>
      <c r="C250" s="165">
        <v>45634</v>
      </c>
      <c r="D250" s="127" t="s">
        <v>1002</v>
      </c>
      <c r="E250" s="108" t="s">
        <v>949</v>
      </c>
      <c r="F250" s="166" t="s">
        <v>964</v>
      </c>
      <c r="G250" s="127"/>
      <c r="H250" s="127"/>
      <c r="I250" s="127"/>
      <c r="J250" s="127"/>
      <c r="K250" s="88" t="s">
        <v>19</v>
      </c>
      <c r="L250" s="127" t="s">
        <v>1068</v>
      </c>
      <c r="M250" s="127"/>
      <c r="N250" s="127"/>
    </row>
    <row r="251" spans="2:14" ht="47.25" hidden="1" x14ac:dyDescent="0.25">
      <c r="B251" s="85">
        <v>245</v>
      </c>
      <c r="C251" s="165">
        <v>45634</v>
      </c>
      <c r="D251" s="127" t="s">
        <v>1003</v>
      </c>
      <c r="E251" s="108" t="s">
        <v>967</v>
      </c>
      <c r="F251" s="166" t="s">
        <v>966</v>
      </c>
      <c r="G251" s="127"/>
      <c r="H251" s="127"/>
      <c r="I251" s="127"/>
      <c r="J251" s="127"/>
      <c r="K251" s="126" t="s">
        <v>22</v>
      </c>
      <c r="L251" s="127" t="s">
        <v>221</v>
      </c>
      <c r="M251" s="127"/>
      <c r="N251" s="127"/>
    </row>
    <row r="252" spans="2:14" ht="47.25" hidden="1" x14ac:dyDescent="0.25">
      <c r="B252" s="85">
        <v>246</v>
      </c>
      <c r="C252" s="165">
        <v>45634</v>
      </c>
      <c r="D252" s="127" t="s">
        <v>1003</v>
      </c>
      <c r="E252" s="108" t="s">
        <v>967</v>
      </c>
      <c r="F252" s="166" t="s">
        <v>954</v>
      </c>
      <c r="G252" s="127"/>
      <c r="H252" s="127"/>
      <c r="I252" s="127"/>
      <c r="J252" s="127"/>
      <c r="K252" s="126" t="s">
        <v>22</v>
      </c>
      <c r="L252" s="127" t="s">
        <v>221</v>
      </c>
      <c r="M252" s="127"/>
      <c r="N252" s="127"/>
    </row>
    <row r="253" spans="2:14" ht="31.5" hidden="1" x14ac:dyDescent="0.25">
      <c r="B253" s="85">
        <v>247</v>
      </c>
      <c r="C253" s="165">
        <v>45634</v>
      </c>
      <c r="D253" s="127" t="s">
        <v>1003</v>
      </c>
      <c r="E253" s="108" t="s">
        <v>967</v>
      </c>
      <c r="F253" s="166" t="s">
        <v>968</v>
      </c>
      <c r="G253" s="127"/>
      <c r="H253" s="127"/>
      <c r="I253" s="127"/>
      <c r="J253" s="127"/>
      <c r="K253" s="126" t="s">
        <v>22</v>
      </c>
      <c r="L253" s="127" t="s">
        <v>221</v>
      </c>
      <c r="M253" s="127"/>
      <c r="N253" s="127"/>
    </row>
    <row r="254" spans="2:14" ht="31.5" x14ac:dyDescent="0.25">
      <c r="B254" s="85">
        <v>248</v>
      </c>
      <c r="C254" s="165">
        <v>45634</v>
      </c>
      <c r="D254" s="127" t="s">
        <v>1003</v>
      </c>
      <c r="E254" s="108" t="s">
        <v>967</v>
      </c>
      <c r="F254" s="166" t="s">
        <v>969</v>
      </c>
      <c r="G254" s="127"/>
      <c r="H254" s="127"/>
      <c r="I254" s="127"/>
      <c r="J254" s="127"/>
      <c r="K254" s="88" t="s">
        <v>19</v>
      </c>
      <c r="L254" s="127" t="s">
        <v>59</v>
      </c>
      <c r="M254" s="127"/>
      <c r="N254" s="127" t="str">
        <f t="shared" ca="1" si="11"/>
        <v>8 months, 5 days</v>
      </c>
    </row>
    <row r="255" spans="2:14" ht="31.5" x14ac:dyDescent="0.25">
      <c r="B255" s="85">
        <v>249</v>
      </c>
      <c r="C255" s="165">
        <v>45634</v>
      </c>
      <c r="D255" s="127" t="s">
        <v>1003</v>
      </c>
      <c r="E255" s="108" t="s">
        <v>967</v>
      </c>
      <c r="F255" s="166" t="s">
        <v>970</v>
      </c>
      <c r="G255" s="127"/>
      <c r="H255" s="127"/>
      <c r="I255" s="127"/>
      <c r="J255" s="127"/>
      <c r="K255" s="126" t="s">
        <v>22</v>
      </c>
      <c r="L255" s="127" t="s">
        <v>59</v>
      </c>
      <c r="M255" s="127"/>
      <c r="N255" s="127" t="str">
        <f t="shared" ca="1" si="11"/>
        <v>8 months, 5 days</v>
      </c>
    </row>
    <row r="256" spans="2:14" ht="47.25" x14ac:dyDescent="0.25">
      <c r="B256" s="85">
        <v>250</v>
      </c>
      <c r="C256" s="165">
        <v>45634</v>
      </c>
      <c r="D256" s="127" t="s">
        <v>1003</v>
      </c>
      <c r="E256" s="108" t="s">
        <v>967</v>
      </c>
      <c r="F256" s="166" t="s">
        <v>971</v>
      </c>
      <c r="G256" s="127"/>
      <c r="H256" s="127"/>
      <c r="I256" s="127"/>
      <c r="J256" s="127"/>
      <c r="K256" s="241" t="s">
        <v>19</v>
      </c>
      <c r="L256" s="127" t="s">
        <v>972</v>
      </c>
      <c r="M256" s="127"/>
      <c r="N256" s="127" t="str">
        <f t="shared" ca="1" si="11"/>
        <v>8 months, 5 days</v>
      </c>
    </row>
    <row r="257" spans="2:14" ht="47.25" x14ac:dyDescent="0.25">
      <c r="B257" s="85">
        <v>251</v>
      </c>
      <c r="C257" s="165">
        <v>45634</v>
      </c>
      <c r="D257" s="127" t="s">
        <v>1003</v>
      </c>
      <c r="E257" s="108" t="s">
        <v>967</v>
      </c>
      <c r="F257" s="166" t="s">
        <v>973</v>
      </c>
      <c r="G257" s="127"/>
      <c r="H257" s="127"/>
      <c r="I257" s="127"/>
      <c r="J257" s="127"/>
      <c r="K257" s="241" t="s">
        <v>19</v>
      </c>
      <c r="L257" s="127" t="s">
        <v>974</v>
      </c>
      <c r="M257" s="127"/>
      <c r="N257" s="127" t="str">
        <f t="shared" ca="1" si="11"/>
        <v>8 months, 5 days</v>
      </c>
    </row>
    <row r="258" spans="2:14" ht="47.25" hidden="1" x14ac:dyDescent="0.25">
      <c r="B258" s="85">
        <v>252</v>
      </c>
      <c r="C258" s="165">
        <v>45634</v>
      </c>
      <c r="D258" s="127" t="s">
        <v>1003</v>
      </c>
      <c r="E258" s="108" t="s">
        <v>967</v>
      </c>
      <c r="F258" s="166" t="s">
        <v>975</v>
      </c>
      <c r="G258" s="127"/>
      <c r="H258" s="127"/>
      <c r="I258" s="127"/>
      <c r="J258" s="127"/>
      <c r="K258" s="126" t="s">
        <v>22</v>
      </c>
      <c r="L258" s="127" t="s">
        <v>976</v>
      </c>
      <c r="M258" s="127"/>
      <c r="N258" s="127" t="str">
        <f t="shared" ca="1" si="11"/>
        <v>8 months, 5 days</v>
      </c>
    </row>
    <row r="259" spans="2:14" ht="31.5" hidden="1" x14ac:dyDescent="0.25">
      <c r="B259" s="85">
        <v>253</v>
      </c>
      <c r="C259" s="165">
        <v>45634</v>
      </c>
      <c r="D259" s="127" t="s">
        <v>1003</v>
      </c>
      <c r="E259" s="108" t="s">
        <v>967</v>
      </c>
      <c r="F259" s="166" t="s">
        <v>977</v>
      </c>
      <c r="G259" s="127"/>
      <c r="H259" s="127"/>
      <c r="I259" s="127"/>
      <c r="J259" s="127"/>
      <c r="K259" s="126" t="s">
        <v>22</v>
      </c>
      <c r="L259" s="127" t="s">
        <v>221</v>
      </c>
      <c r="M259" s="127"/>
      <c r="N259" s="127"/>
    </row>
    <row r="260" spans="2:14" ht="47.25" x14ac:dyDescent="0.25">
      <c r="B260" s="85">
        <v>254</v>
      </c>
      <c r="C260" s="165">
        <v>45634</v>
      </c>
      <c r="D260" s="127" t="s">
        <v>1003</v>
      </c>
      <c r="E260" s="108" t="s">
        <v>967</v>
      </c>
      <c r="F260" s="166" t="s">
        <v>978</v>
      </c>
      <c r="G260" s="127"/>
      <c r="H260" s="127"/>
      <c r="I260" s="127"/>
      <c r="J260" s="127"/>
      <c r="K260" s="144" t="s">
        <v>1094</v>
      </c>
      <c r="L260" s="127" t="s">
        <v>59</v>
      </c>
      <c r="M260" s="127"/>
      <c r="N260" s="127" t="str">
        <f t="shared" ca="1" si="11"/>
        <v>8 months, 5 days</v>
      </c>
    </row>
    <row r="261" spans="2:14" ht="47.25" hidden="1" x14ac:dyDescent="0.25">
      <c r="B261" s="85">
        <v>255</v>
      </c>
      <c r="C261" s="165">
        <v>45634</v>
      </c>
      <c r="D261" s="127" t="s">
        <v>1000</v>
      </c>
      <c r="E261" s="108" t="s">
        <v>104</v>
      </c>
      <c r="F261" s="166" t="s">
        <v>979</v>
      </c>
      <c r="G261" s="127"/>
      <c r="H261" s="127"/>
      <c r="I261" s="127"/>
      <c r="J261" s="127"/>
      <c r="K261" s="126" t="s">
        <v>22</v>
      </c>
      <c r="L261" s="127" t="s">
        <v>53</v>
      </c>
      <c r="M261" s="127"/>
      <c r="N261" s="127" t="str">
        <f t="shared" ca="1" si="11"/>
        <v>8 months, 5 days</v>
      </c>
    </row>
    <row r="262" spans="2:14" ht="47.25" hidden="1" x14ac:dyDescent="0.25">
      <c r="B262" s="85">
        <v>256</v>
      </c>
      <c r="C262" s="165">
        <v>45634</v>
      </c>
      <c r="D262" s="127" t="s">
        <v>1000</v>
      </c>
      <c r="E262" s="108" t="s">
        <v>104</v>
      </c>
      <c r="F262" s="166" t="s">
        <v>952</v>
      </c>
      <c r="G262" s="127"/>
      <c r="H262" s="127"/>
      <c r="I262" s="127"/>
      <c r="J262" s="127"/>
      <c r="K262" s="144" t="s">
        <v>114</v>
      </c>
      <c r="L262" s="127" t="s">
        <v>980</v>
      </c>
      <c r="M262" s="127"/>
      <c r="N262" s="127" t="str">
        <f t="shared" ca="1" si="11"/>
        <v>8 months, 5 days</v>
      </c>
    </row>
    <row r="263" spans="2:14" ht="47.25" hidden="1" x14ac:dyDescent="0.25">
      <c r="B263" s="85">
        <v>257</v>
      </c>
      <c r="C263" s="165">
        <v>45634</v>
      </c>
      <c r="D263" s="127" t="s">
        <v>1000</v>
      </c>
      <c r="E263" s="108" t="s">
        <v>104</v>
      </c>
      <c r="F263" s="166" t="s">
        <v>981</v>
      </c>
      <c r="G263" s="127"/>
      <c r="H263" s="127"/>
      <c r="I263" s="127"/>
      <c r="J263" s="127"/>
      <c r="K263" s="144" t="s">
        <v>114</v>
      </c>
      <c r="L263" s="127" t="s">
        <v>980</v>
      </c>
      <c r="M263" s="127"/>
      <c r="N263" s="127" t="str">
        <f t="shared" ca="1" si="11"/>
        <v>8 months, 5 days</v>
      </c>
    </row>
    <row r="264" spans="2:14" ht="47.25" hidden="1" x14ac:dyDescent="0.25">
      <c r="B264" s="85">
        <v>258</v>
      </c>
      <c r="C264" s="165">
        <v>45634</v>
      </c>
      <c r="D264" s="127" t="s">
        <v>1000</v>
      </c>
      <c r="E264" s="108" t="s">
        <v>104</v>
      </c>
      <c r="F264" s="166" t="s">
        <v>954</v>
      </c>
      <c r="G264" s="127"/>
      <c r="H264" s="127"/>
      <c r="I264" s="127"/>
      <c r="J264" s="127"/>
      <c r="K264" s="126" t="s">
        <v>22</v>
      </c>
      <c r="L264" s="127" t="s">
        <v>221</v>
      </c>
      <c r="M264" s="127"/>
      <c r="N264" s="127"/>
    </row>
    <row r="265" spans="2:14" ht="47.25" hidden="1" x14ac:dyDescent="0.25">
      <c r="B265" s="85">
        <v>259</v>
      </c>
      <c r="C265" s="165">
        <v>45634</v>
      </c>
      <c r="D265" s="127" t="s">
        <v>1000</v>
      </c>
      <c r="E265" s="108" t="s">
        <v>104</v>
      </c>
      <c r="F265" s="166" t="s">
        <v>982</v>
      </c>
      <c r="G265" s="127"/>
      <c r="H265" s="127"/>
      <c r="I265" s="127"/>
      <c r="J265" s="127"/>
      <c r="K265" s="126" t="s">
        <v>22</v>
      </c>
      <c r="L265" s="127" t="s">
        <v>221</v>
      </c>
      <c r="M265" s="127"/>
      <c r="N265" s="127"/>
    </row>
    <row r="266" spans="2:14" ht="47.25" hidden="1" x14ac:dyDescent="0.25">
      <c r="B266" s="85">
        <v>260</v>
      </c>
      <c r="C266" s="165">
        <v>45634</v>
      </c>
      <c r="D266" s="127" t="s">
        <v>1000</v>
      </c>
      <c r="E266" s="108" t="s">
        <v>104</v>
      </c>
      <c r="F266" s="166" t="s">
        <v>983</v>
      </c>
      <c r="G266" s="127"/>
      <c r="H266" s="127"/>
      <c r="I266" s="127"/>
      <c r="J266" s="127"/>
      <c r="K266" s="126" t="s">
        <v>22</v>
      </c>
      <c r="L266" s="127" t="s">
        <v>221</v>
      </c>
      <c r="M266" s="127"/>
      <c r="N266" s="127"/>
    </row>
    <row r="267" spans="2:14" ht="47.25" hidden="1" x14ac:dyDescent="0.25">
      <c r="B267" s="85">
        <v>261</v>
      </c>
      <c r="C267" s="165">
        <v>45634</v>
      </c>
      <c r="D267" s="127" t="s">
        <v>1000</v>
      </c>
      <c r="E267" s="19" t="s">
        <v>104</v>
      </c>
      <c r="F267" s="166" t="s">
        <v>984</v>
      </c>
      <c r="G267" s="127"/>
      <c r="H267" s="127"/>
      <c r="I267" s="127"/>
      <c r="J267" s="127"/>
      <c r="K267" s="126" t="s">
        <v>22</v>
      </c>
      <c r="L267" s="127" t="s">
        <v>221</v>
      </c>
      <c r="M267" s="127"/>
      <c r="N267" s="127"/>
    </row>
    <row r="268" spans="2:14" ht="47.25" hidden="1" x14ac:dyDescent="0.25">
      <c r="B268" s="85">
        <v>262</v>
      </c>
      <c r="C268" s="165">
        <v>45634</v>
      </c>
      <c r="D268" s="127" t="s">
        <v>1001</v>
      </c>
      <c r="E268" s="108" t="s">
        <v>104</v>
      </c>
      <c r="F268" s="166" t="s">
        <v>985</v>
      </c>
      <c r="G268" s="127"/>
      <c r="H268" s="127"/>
      <c r="I268" s="127"/>
      <c r="J268" s="127"/>
      <c r="K268" s="88" t="s">
        <v>19</v>
      </c>
      <c r="L268" s="127" t="s">
        <v>1067</v>
      </c>
      <c r="M268" s="127"/>
      <c r="N268" s="127"/>
    </row>
    <row r="269" spans="2:14" ht="63" hidden="1" x14ac:dyDescent="0.25">
      <c r="B269" s="85">
        <v>263</v>
      </c>
      <c r="C269" s="165">
        <v>45634</v>
      </c>
      <c r="D269" s="127" t="s">
        <v>1000</v>
      </c>
      <c r="E269" s="19" t="s">
        <v>104</v>
      </c>
      <c r="F269" s="166" t="s">
        <v>986</v>
      </c>
      <c r="G269" s="127"/>
      <c r="H269" s="127"/>
      <c r="I269" s="127"/>
      <c r="J269" s="127"/>
      <c r="K269" s="88" t="s">
        <v>19</v>
      </c>
      <c r="L269" s="127" t="s">
        <v>1067</v>
      </c>
      <c r="M269" s="127"/>
      <c r="N269" s="127"/>
    </row>
    <row r="270" spans="2:14" ht="78.75" x14ac:dyDescent="0.25">
      <c r="B270" s="85">
        <v>264</v>
      </c>
      <c r="C270" s="165">
        <v>45634</v>
      </c>
      <c r="D270" s="127" t="s">
        <v>1000</v>
      </c>
      <c r="E270" s="108" t="s">
        <v>104</v>
      </c>
      <c r="F270" s="166" t="s">
        <v>987</v>
      </c>
      <c r="G270" s="127"/>
      <c r="H270" s="127"/>
      <c r="I270" s="127"/>
      <c r="J270" s="127"/>
      <c r="K270" s="88" t="s">
        <v>19</v>
      </c>
      <c r="L270" s="127" t="s">
        <v>59</v>
      </c>
      <c r="M270" s="127"/>
      <c r="N270" s="127" t="str">
        <f t="shared" ca="1" si="11"/>
        <v>8 months, 5 days</v>
      </c>
    </row>
    <row r="271" spans="2:14" ht="47.25" x14ac:dyDescent="0.25">
      <c r="B271" s="85">
        <v>265</v>
      </c>
      <c r="C271" s="165">
        <v>45634</v>
      </c>
      <c r="D271" s="127" t="s">
        <v>1000</v>
      </c>
      <c r="E271" s="108" t="s">
        <v>104</v>
      </c>
      <c r="F271" s="166" t="s">
        <v>988</v>
      </c>
      <c r="G271" s="127"/>
      <c r="H271" s="127"/>
      <c r="I271" s="127"/>
      <c r="J271" s="127"/>
      <c r="K271" s="126" t="s">
        <v>22</v>
      </c>
      <c r="L271" s="127" t="s">
        <v>961</v>
      </c>
      <c r="M271" s="127"/>
      <c r="N271" s="127"/>
    </row>
    <row r="272" spans="2:14" ht="47.25" x14ac:dyDescent="0.25">
      <c r="B272" s="85">
        <v>266</v>
      </c>
      <c r="C272" s="165">
        <v>45634</v>
      </c>
      <c r="D272" s="127" t="s">
        <v>1000</v>
      </c>
      <c r="E272" s="108" t="s">
        <v>104</v>
      </c>
      <c r="F272" s="166" t="s">
        <v>989</v>
      </c>
      <c r="G272" s="127"/>
      <c r="H272" s="127"/>
      <c r="I272" s="127"/>
      <c r="J272" s="127"/>
      <c r="K272" s="144" t="s">
        <v>114</v>
      </c>
      <c r="L272" s="127" t="s">
        <v>59</v>
      </c>
      <c r="M272" s="127"/>
      <c r="N272" s="127" t="str">
        <f t="shared" ca="1" si="11"/>
        <v>8 months, 5 days</v>
      </c>
    </row>
    <row r="273" spans="2:14" ht="63" x14ac:dyDescent="0.25">
      <c r="B273" s="85">
        <v>267</v>
      </c>
      <c r="C273" s="165">
        <v>45634</v>
      </c>
      <c r="D273" s="127" t="s">
        <v>1000</v>
      </c>
      <c r="E273" s="108" t="s">
        <v>104</v>
      </c>
      <c r="F273" s="166" t="s">
        <v>990</v>
      </c>
      <c r="G273" s="127"/>
      <c r="H273" s="127"/>
      <c r="I273" s="127"/>
      <c r="J273" s="127"/>
      <c r="K273" s="126" t="s">
        <v>22</v>
      </c>
      <c r="L273" s="127" t="s">
        <v>59</v>
      </c>
      <c r="M273" s="127"/>
      <c r="N273" s="127" t="str">
        <f t="shared" ca="1" si="11"/>
        <v>8 months, 5 days</v>
      </c>
    </row>
    <row r="274" spans="2:14" ht="47.25" x14ac:dyDescent="0.25">
      <c r="B274" s="85">
        <v>268</v>
      </c>
      <c r="C274" s="165">
        <v>45634</v>
      </c>
      <c r="D274" s="127" t="s">
        <v>1000</v>
      </c>
      <c r="E274" s="108" t="s">
        <v>104</v>
      </c>
      <c r="F274" s="166" t="s">
        <v>991</v>
      </c>
      <c r="G274" s="127"/>
      <c r="H274" s="127"/>
      <c r="I274" s="127"/>
      <c r="J274" s="127"/>
      <c r="K274" s="126" t="s">
        <v>22</v>
      </c>
      <c r="L274" s="127" t="s">
        <v>59</v>
      </c>
      <c r="M274" s="127"/>
      <c r="N274" s="127" t="str">
        <f t="shared" ca="1" si="11"/>
        <v>8 months, 5 days</v>
      </c>
    </row>
    <row r="275" spans="2:14" ht="63" x14ac:dyDescent="0.25">
      <c r="B275" s="85">
        <v>269</v>
      </c>
      <c r="C275" s="165">
        <v>45634</v>
      </c>
      <c r="D275" s="127" t="s">
        <v>1000</v>
      </c>
      <c r="E275" s="108" t="s">
        <v>104</v>
      </c>
      <c r="F275" s="166" t="s">
        <v>992</v>
      </c>
      <c r="G275" s="127"/>
      <c r="H275" s="127"/>
      <c r="I275" s="127"/>
      <c r="J275" s="127"/>
      <c r="K275" s="126" t="s">
        <v>22</v>
      </c>
      <c r="L275" s="127" t="s">
        <v>59</v>
      </c>
      <c r="M275" s="127"/>
      <c r="N275" s="127" t="str">
        <f t="shared" ca="1" si="11"/>
        <v>8 months, 5 days</v>
      </c>
    </row>
    <row r="276" spans="2:14" ht="63" x14ac:dyDescent="0.25">
      <c r="B276" s="85">
        <v>270</v>
      </c>
      <c r="C276" s="165">
        <v>45634</v>
      </c>
      <c r="D276" s="127" t="s">
        <v>1000</v>
      </c>
      <c r="E276" s="108" t="s">
        <v>104</v>
      </c>
      <c r="F276" s="166" t="s">
        <v>993</v>
      </c>
      <c r="G276" s="127"/>
      <c r="H276" s="127"/>
      <c r="I276" s="127"/>
      <c r="J276" s="127"/>
      <c r="K276" s="241" t="s">
        <v>19</v>
      </c>
      <c r="L276" s="127" t="s">
        <v>59</v>
      </c>
      <c r="M276" s="127"/>
      <c r="N276" s="127" t="str">
        <f t="shared" ca="1" si="11"/>
        <v>8 months, 5 days</v>
      </c>
    </row>
    <row r="277" spans="2:14" ht="63" hidden="1" x14ac:dyDescent="0.25">
      <c r="B277" s="85">
        <v>271</v>
      </c>
      <c r="C277" s="165">
        <v>45634</v>
      </c>
      <c r="D277" s="127" t="s">
        <v>1000</v>
      </c>
      <c r="E277" s="108" t="s">
        <v>104</v>
      </c>
      <c r="F277" s="166" t="s">
        <v>994</v>
      </c>
      <c r="G277" s="127"/>
      <c r="H277" s="127"/>
      <c r="I277" s="127"/>
      <c r="J277" s="127"/>
      <c r="K277" s="126" t="s">
        <v>22</v>
      </c>
      <c r="L277" s="127" t="s">
        <v>53</v>
      </c>
      <c r="M277" s="127"/>
      <c r="N277" s="127" t="str">
        <f t="shared" ca="1" si="11"/>
        <v>8 months, 5 days</v>
      </c>
    </row>
    <row r="278" spans="2:14" ht="47.25" hidden="1" x14ac:dyDescent="0.25">
      <c r="B278" s="85">
        <v>272</v>
      </c>
      <c r="C278" s="165">
        <v>45634</v>
      </c>
      <c r="D278" s="127" t="s">
        <v>1000</v>
      </c>
      <c r="E278" s="108" t="s">
        <v>104</v>
      </c>
      <c r="F278" s="166" t="s">
        <v>995</v>
      </c>
      <c r="G278" s="127"/>
      <c r="H278" s="127"/>
      <c r="I278" s="127"/>
      <c r="J278" s="127"/>
      <c r="K278" s="126" t="s">
        <v>22</v>
      </c>
      <c r="L278" s="127" t="s">
        <v>997</v>
      </c>
      <c r="M278" s="127"/>
      <c r="N278" s="127" t="str">
        <f t="shared" ca="1" si="11"/>
        <v>8 months, 5 days</v>
      </c>
    </row>
    <row r="279" spans="2:14" ht="78.75" hidden="1" x14ac:dyDescent="0.25">
      <c r="B279" s="85">
        <v>273</v>
      </c>
      <c r="C279" s="165">
        <v>45634</v>
      </c>
      <c r="D279" s="127" t="s">
        <v>1000</v>
      </c>
      <c r="E279" s="19" t="s">
        <v>104</v>
      </c>
      <c r="F279" s="166" t="s">
        <v>996</v>
      </c>
      <c r="G279" s="127"/>
      <c r="H279" s="127"/>
      <c r="I279" s="127"/>
      <c r="J279" s="127"/>
      <c r="K279" s="126" t="s">
        <v>22</v>
      </c>
      <c r="L279" s="127" t="s">
        <v>53</v>
      </c>
      <c r="M279" s="127"/>
      <c r="N279" s="127" t="str">
        <f t="shared" ca="1" si="11"/>
        <v>8 months, 5 days</v>
      </c>
    </row>
    <row r="280" spans="2:14" ht="47.25" hidden="1" x14ac:dyDescent="0.25">
      <c r="B280" s="85">
        <v>274</v>
      </c>
      <c r="C280" s="165">
        <v>45634</v>
      </c>
      <c r="D280" s="127" t="s">
        <v>1000</v>
      </c>
      <c r="E280" s="19" t="s">
        <v>104</v>
      </c>
      <c r="F280" s="166" t="s">
        <v>998</v>
      </c>
      <c r="G280" s="127"/>
      <c r="H280" s="127"/>
      <c r="I280" s="127"/>
      <c r="J280" s="127"/>
      <c r="K280" s="144" t="s">
        <v>114</v>
      </c>
      <c r="L280" s="127" t="s">
        <v>999</v>
      </c>
      <c r="M280" s="127"/>
      <c r="N280" s="127" t="str">
        <f t="shared" ca="1" si="11"/>
        <v>8 months, 4 days</v>
      </c>
    </row>
    <row r="281" spans="2:14" ht="31.5" hidden="1" x14ac:dyDescent="0.25">
      <c r="B281" s="85">
        <v>275</v>
      </c>
      <c r="C281" s="165">
        <v>45635</v>
      </c>
      <c r="D281" s="127"/>
      <c r="E281" s="127" t="s">
        <v>34</v>
      </c>
      <c r="F281" s="166" t="s">
        <v>1004</v>
      </c>
      <c r="G281" s="127"/>
      <c r="H281" s="127"/>
      <c r="I281" s="127"/>
      <c r="J281" s="20" t="s">
        <v>18</v>
      </c>
      <c r="K281" s="234" t="s">
        <v>29</v>
      </c>
      <c r="L281" s="127" t="s">
        <v>251</v>
      </c>
      <c r="M281" s="127"/>
      <c r="N281" s="127"/>
    </row>
    <row r="282" spans="2:14" ht="47.25" hidden="1" x14ac:dyDescent="0.25">
      <c r="B282" s="85">
        <v>276</v>
      </c>
      <c r="C282" s="165">
        <v>45637</v>
      </c>
      <c r="D282" s="127"/>
      <c r="E282" s="127" t="s">
        <v>16</v>
      </c>
      <c r="F282" s="166" t="s">
        <v>1070</v>
      </c>
      <c r="G282" s="127"/>
      <c r="H282" s="127"/>
      <c r="I282" s="127" t="s">
        <v>18</v>
      </c>
      <c r="J282" s="127"/>
      <c r="K282" s="235" t="s">
        <v>22</v>
      </c>
      <c r="L282" s="127" t="s">
        <v>53</v>
      </c>
      <c r="M282" s="127"/>
      <c r="N282" s="127"/>
    </row>
    <row r="283" spans="2:14" ht="73.5" hidden="1" customHeight="1" x14ac:dyDescent="0.25">
      <c r="B283" s="85">
        <v>277</v>
      </c>
      <c r="C283" s="165">
        <v>45651</v>
      </c>
      <c r="D283" s="127"/>
      <c r="E283" s="127" t="s">
        <v>16</v>
      </c>
      <c r="F283" s="166" t="s">
        <v>1082</v>
      </c>
      <c r="G283" s="127"/>
      <c r="H283" s="127"/>
      <c r="I283" s="35" t="s">
        <v>18</v>
      </c>
      <c r="J283" s="127"/>
      <c r="K283" s="126" t="s">
        <v>22</v>
      </c>
      <c r="L283" s="127" t="s">
        <v>53</v>
      </c>
      <c r="M283" s="127"/>
      <c r="N283" s="127"/>
    </row>
    <row r="284" spans="2:14" ht="15.75" x14ac:dyDescent="0.25">
      <c r="B284" s="85"/>
      <c r="C284" s="127"/>
      <c r="D284" s="127"/>
      <c r="E284" s="127"/>
      <c r="F284" s="166"/>
      <c r="G284" s="127"/>
      <c r="H284" s="127"/>
      <c r="I284" s="127"/>
      <c r="J284" s="127"/>
      <c r="K284" s="127"/>
      <c r="L284" s="127"/>
      <c r="M284" s="127"/>
      <c r="N284" s="127"/>
    </row>
  </sheetData>
  <autoFilter ref="L2:L283">
    <filterColumn colId="0">
      <filters>
        <filter val="Business Operation"/>
        <filter val="Business Operation/ Corporate Department"/>
        <filter val="Business Operation/Engneering department"/>
        <filter val="Business Operations"/>
        <filter val="Business Operations \AVSEC"/>
        <filter val="Business Operations Department"/>
        <filter val="Business Operations Department / Corporate Department"/>
        <filter val="Business Operations Department/ Flight Operations Department"/>
        <filter val="Business Operations_x000a_Department_x000a_"/>
        <filter val="Business Operations/ Corporate Safety Department"/>
        <filter val="Business Operations/ Engineering Dept."/>
        <filter val="Business operations/ Flight operations"/>
        <filter val="Business OPS Department"/>
        <filter val="Business OPS Department/Corporate Department"/>
        <filter val="Corporate/Business operstions/Ground handling"/>
        <filter val="Flight Operations/Business Operations/Engineering/Corporate  Department"/>
      </filters>
    </filterColumn>
  </autoFilter>
  <mergeCells count="13">
    <mergeCell ref="N2:N3"/>
    <mergeCell ref="D2:D3"/>
    <mergeCell ref="M2:M3"/>
    <mergeCell ref="K1:M1"/>
    <mergeCell ref="L2:L3"/>
    <mergeCell ref="B1:E1"/>
    <mergeCell ref="F1:J1"/>
    <mergeCell ref="B2:B3"/>
    <mergeCell ref="C2:C3"/>
    <mergeCell ref="E2:E3"/>
    <mergeCell ref="F2:F3"/>
    <mergeCell ref="K2:K3"/>
    <mergeCell ref="G2:J2"/>
  </mergeCells>
  <hyperlinks>
    <hyperlink ref="G3" r:id="rId1"/>
  </hyperlinks>
  <pageMargins left="0.2" right="0.2" top="0" bottom="0" header="0.3" footer="0.3"/>
  <pageSetup paperSize="9" scale="64" fitToHeight="0"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66"/>
  <sheetViews>
    <sheetView topLeftCell="A4" zoomScale="86" zoomScaleNormal="86" workbookViewId="0">
      <selection activeCell="K6" sqref="K6"/>
    </sheetView>
  </sheetViews>
  <sheetFormatPr defaultRowHeight="15" x14ac:dyDescent="0.25"/>
  <cols>
    <col min="1" max="1" width="3" customWidth="1"/>
    <col min="2" max="2" width="5.85546875" customWidth="1"/>
    <col min="3" max="3" width="11" customWidth="1"/>
    <col min="4" max="4" width="12.5703125" customWidth="1"/>
    <col min="5" max="5" width="12.85546875" customWidth="1"/>
    <col min="6" max="6" width="13.5703125" customWidth="1"/>
    <col min="7" max="8" width="12.85546875" customWidth="1"/>
    <col min="9" max="9" width="26.85546875" style="9" customWidth="1"/>
    <col min="10" max="10" width="18.42578125" customWidth="1"/>
    <col min="11" max="11" width="11" customWidth="1"/>
    <col min="12" max="12" width="15.140625" customWidth="1"/>
    <col min="13" max="13" width="12.5703125" customWidth="1"/>
    <col min="14" max="14" width="15" customWidth="1"/>
    <col min="15" max="15" width="12.42578125" customWidth="1"/>
    <col min="16" max="16" width="11.140625" customWidth="1"/>
    <col min="17" max="17" width="11.42578125" customWidth="1"/>
    <col min="18" max="18" width="32.85546875" style="9" customWidth="1"/>
    <col min="19" max="19" width="21.42578125" customWidth="1"/>
    <col min="20" max="20" width="21.28515625" customWidth="1"/>
    <col min="21" max="21" width="29" customWidth="1"/>
    <col min="22" max="22" width="27.7109375" customWidth="1"/>
  </cols>
  <sheetData>
    <row r="1" spans="2:21" ht="101.25" customHeight="1" thickBot="1" x14ac:dyDescent="0.3">
      <c r="B1" s="274" t="s">
        <v>309</v>
      </c>
      <c r="C1" s="275"/>
      <c r="D1" s="275"/>
      <c r="E1" s="275"/>
      <c r="F1" s="276"/>
      <c r="G1" s="263" t="s">
        <v>310</v>
      </c>
      <c r="H1" s="264"/>
      <c r="I1" s="264"/>
      <c r="J1" s="264"/>
      <c r="K1" s="264"/>
      <c r="L1" s="264"/>
      <c r="M1" s="264"/>
      <c r="N1" s="265"/>
      <c r="O1" s="271" t="s">
        <v>1</v>
      </c>
      <c r="P1" s="272"/>
      <c r="Q1" s="272"/>
      <c r="R1" s="272"/>
      <c r="S1" s="273"/>
    </row>
    <row r="2" spans="2:21" ht="23.25" customHeight="1" thickBot="1" x14ac:dyDescent="0.3">
      <c r="B2" s="277" t="s">
        <v>2</v>
      </c>
      <c r="C2" s="266" t="s">
        <v>311</v>
      </c>
      <c r="D2" s="279" t="s">
        <v>5</v>
      </c>
      <c r="E2" s="266" t="s">
        <v>312</v>
      </c>
      <c r="F2" s="266" t="s">
        <v>313</v>
      </c>
      <c r="G2" s="266" t="s">
        <v>314</v>
      </c>
      <c r="H2" s="266" t="s">
        <v>315</v>
      </c>
      <c r="I2" s="281" t="s">
        <v>316</v>
      </c>
      <c r="J2" s="213"/>
      <c r="K2" s="266" t="s">
        <v>317</v>
      </c>
      <c r="L2" s="260" t="s">
        <v>318</v>
      </c>
      <c r="M2" s="261"/>
      <c r="N2" s="266" t="s">
        <v>319</v>
      </c>
      <c r="O2" s="260" t="s">
        <v>320</v>
      </c>
      <c r="P2" s="262"/>
      <c r="Q2" s="262"/>
      <c r="R2" s="269" t="s">
        <v>321</v>
      </c>
      <c r="S2" s="266" t="s">
        <v>322</v>
      </c>
    </row>
    <row r="3" spans="2:21" ht="62.25" customHeight="1" thickBot="1" x14ac:dyDescent="0.3">
      <c r="B3" s="278"/>
      <c r="C3" s="268"/>
      <c r="D3" s="280"/>
      <c r="E3" s="268"/>
      <c r="F3" s="268"/>
      <c r="G3" s="268"/>
      <c r="H3" s="268"/>
      <c r="I3" s="282"/>
      <c r="J3" s="214" t="s">
        <v>323</v>
      </c>
      <c r="K3" s="268"/>
      <c r="L3" s="213" t="s">
        <v>324</v>
      </c>
      <c r="M3" s="213" t="s">
        <v>325</v>
      </c>
      <c r="N3" s="268"/>
      <c r="O3" s="23" t="s">
        <v>326</v>
      </c>
      <c r="P3" s="213" t="s">
        <v>327</v>
      </c>
      <c r="Q3" s="23" t="s">
        <v>328</v>
      </c>
      <c r="R3" s="270"/>
      <c r="S3" s="267"/>
    </row>
    <row r="4" spans="2:21" s="56" customFormat="1" ht="60" x14ac:dyDescent="0.25">
      <c r="B4" s="20">
        <v>1</v>
      </c>
      <c r="C4" s="20" t="s">
        <v>329</v>
      </c>
      <c r="D4" s="20" t="s">
        <v>77</v>
      </c>
      <c r="E4" s="20" t="s">
        <v>330</v>
      </c>
      <c r="F4" s="20" t="s">
        <v>331</v>
      </c>
      <c r="G4" s="20" t="s">
        <v>332</v>
      </c>
      <c r="H4" s="138" t="s">
        <v>333</v>
      </c>
      <c r="I4" s="19" t="s">
        <v>334</v>
      </c>
      <c r="J4" s="20"/>
      <c r="K4" s="20" t="s">
        <v>335</v>
      </c>
      <c r="L4" s="20" t="s">
        <v>336</v>
      </c>
      <c r="M4" s="20" t="s">
        <v>337</v>
      </c>
      <c r="N4" s="20" t="s">
        <v>79</v>
      </c>
      <c r="O4" s="20" t="s">
        <v>338</v>
      </c>
      <c r="P4" s="20"/>
      <c r="Q4" s="20" t="s">
        <v>338</v>
      </c>
      <c r="R4" s="19" t="s">
        <v>339</v>
      </c>
      <c r="S4" s="50"/>
      <c r="U4" s="56" t="s">
        <v>1086</v>
      </c>
    </row>
    <row r="5" spans="2:21" ht="60" x14ac:dyDescent="0.25">
      <c r="B5" s="50">
        <v>2</v>
      </c>
      <c r="C5" s="51" t="s">
        <v>340</v>
      </c>
      <c r="D5" s="46" t="s">
        <v>77</v>
      </c>
      <c r="E5" s="20" t="s">
        <v>341</v>
      </c>
      <c r="F5" s="17" t="s">
        <v>342</v>
      </c>
      <c r="G5" s="50" t="s">
        <v>343</v>
      </c>
      <c r="H5" s="138" t="s">
        <v>344</v>
      </c>
      <c r="I5" s="51" t="s">
        <v>345</v>
      </c>
      <c r="J5" s="50" t="s">
        <v>346</v>
      </c>
      <c r="K5" s="17" t="s">
        <v>347</v>
      </c>
      <c r="L5" s="17" t="s">
        <v>348</v>
      </c>
      <c r="M5" s="50" t="s">
        <v>349</v>
      </c>
      <c r="N5" s="51" t="s">
        <v>79</v>
      </c>
      <c r="O5" s="82" t="s">
        <v>350</v>
      </c>
      <c r="P5" s="50"/>
      <c r="Q5" s="83">
        <v>45394</v>
      </c>
      <c r="R5" s="45" t="s">
        <v>351</v>
      </c>
      <c r="S5" s="50"/>
    </row>
    <row r="6" spans="2:21" ht="150" x14ac:dyDescent="0.25">
      <c r="B6" s="50">
        <v>3</v>
      </c>
      <c r="C6" s="51" t="s">
        <v>352</v>
      </c>
      <c r="D6" s="17" t="s">
        <v>16</v>
      </c>
      <c r="E6" s="20" t="s">
        <v>353</v>
      </c>
      <c r="F6" s="47" t="s">
        <v>331</v>
      </c>
      <c r="G6" s="50" t="s">
        <v>343</v>
      </c>
      <c r="H6" s="138" t="s">
        <v>354</v>
      </c>
      <c r="I6" s="51" t="s">
        <v>355</v>
      </c>
      <c r="J6" s="50" t="s">
        <v>356</v>
      </c>
      <c r="K6" s="17" t="s">
        <v>347</v>
      </c>
      <c r="L6" s="17" t="s">
        <v>349</v>
      </c>
      <c r="M6" s="50" t="s">
        <v>349</v>
      </c>
      <c r="N6" s="51" t="s">
        <v>357</v>
      </c>
      <c r="O6" s="82">
        <v>45401</v>
      </c>
      <c r="P6" s="50"/>
      <c r="Q6" s="82">
        <v>45401</v>
      </c>
      <c r="R6" s="45" t="s">
        <v>358</v>
      </c>
      <c r="S6" s="51" t="s">
        <v>359</v>
      </c>
    </row>
    <row r="7" spans="2:21" ht="90" x14ac:dyDescent="0.25">
      <c r="B7" s="50">
        <v>4</v>
      </c>
      <c r="C7" s="20" t="s">
        <v>360</v>
      </c>
      <c r="D7" s="20" t="s">
        <v>77</v>
      </c>
      <c r="E7" s="20" t="s">
        <v>361</v>
      </c>
      <c r="F7" s="47" t="s">
        <v>331</v>
      </c>
      <c r="G7" s="47" t="s">
        <v>332</v>
      </c>
      <c r="H7" s="138" t="s">
        <v>344</v>
      </c>
      <c r="I7" s="20" t="s">
        <v>362</v>
      </c>
      <c r="J7" s="50" t="s">
        <v>346</v>
      </c>
      <c r="K7" s="47" t="s">
        <v>335</v>
      </c>
      <c r="L7" s="20" t="s">
        <v>348</v>
      </c>
      <c r="M7" s="47" t="s">
        <v>349</v>
      </c>
      <c r="N7" s="47" t="s">
        <v>363</v>
      </c>
      <c r="O7" s="129">
        <v>45406</v>
      </c>
      <c r="P7" s="47"/>
      <c r="Q7" s="129">
        <v>45406</v>
      </c>
      <c r="R7" s="47" t="s">
        <v>364</v>
      </c>
      <c r="S7" s="47"/>
    </row>
    <row r="8" spans="2:21" ht="210" x14ac:dyDescent="0.25">
      <c r="B8" s="50">
        <v>5</v>
      </c>
      <c r="C8" s="20" t="s">
        <v>365</v>
      </c>
      <c r="D8" s="20" t="s">
        <v>77</v>
      </c>
      <c r="E8" s="20" t="s">
        <v>366</v>
      </c>
      <c r="F8" s="20" t="s">
        <v>331</v>
      </c>
      <c r="G8" s="20" t="s">
        <v>332</v>
      </c>
      <c r="H8" s="138" t="s">
        <v>344</v>
      </c>
      <c r="I8" s="31" t="s">
        <v>183</v>
      </c>
      <c r="J8" s="20"/>
      <c r="K8" s="20" t="s">
        <v>347</v>
      </c>
      <c r="L8" s="20" t="s">
        <v>349</v>
      </c>
      <c r="M8" s="20" t="s">
        <v>349</v>
      </c>
      <c r="N8" s="20" t="s">
        <v>363</v>
      </c>
      <c r="O8" s="130">
        <v>45411</v>
      </c>
      <c r="P8" s="20" t="s">
        <v>367</v>
      </c>
      <c r="Q8" s="20"/>
      <c r="R8" s="20" t="s">
        <v>368</v>
      </c>
      <c r="S8" s="47" t="s">
        <v>369</v>
      </c>
    </row>
    <row r="9" spans="2:21" ht="150" x14ac:dyDescent="0.25">
      <c r="B9" s="50">
        <v>6</v>
      </c>
      <c r="C9" s="20" t="s">
        <v>370</v>
      </c>
      <c r="D9" s="20" t="s">
        <v>77</v>
      </c>
      <c r="E9" s="20" t="s">
        <v>371</v>
      </c>
      <c r="F9" s="20" t="s">
        <v>331</v>
      </c>
      <c r="G9" s="20" t="s">
        <v>332</v>
      </c>
      <c r="H9" s="138" t="s">
        <v>372</v>
      </c>
      <c r="I9" s="32" t="s">
        <v>191</v>
      </c>
      <c r="J9" s="47"/>
      <c r="K9" s="20" t="s">
        <v>347</v>
      </c>
      <c r="L9" s="20" t="s">
        <v>349</v>
      </c>
      <c r="M9" s="20" t="s">
        <v>349</v>
      </c>
      <c r="N9" s="20" t="s">
        <v>363</v>
      </c>
      <c r="O9" s="130">
        <v>45420</v>
      </c>
      <c r="P9" s="47"/>
      <c r="Q9" s="130"/>
      <c r="R9" s="20" t="s">
        <v>373</v>
      </c>
      <c r="S9" s="20" t="s">
        <v>374</v>
      </c>
    </row>
    <row r="10" spans="2:21" ht="60" x14ac:dyDescent="0.25">
      <c r="B10" s="50">
        <v>7</v>
      </c>
      <c r="C10" s="20" t="s">
        <v>375</v>
      </c>
      <c r="D10" s="20" t="s">
        <v>16</v>
      </c>
      <c r="E10" s="20" t="s">
        <v>376</v>
      </c>
      <c r="F10" s="20" t="s">
        <v>331</v>
      </c>
      <c r="G10" s="20" t="s">
        <v>332</v>
      </c>
      <c r="H10" s="138" t="s">
        <v>344</v>
      </c>
      <c r="I10" s="45" t="s">
        <v>198</v>
      </c>
      <c r="J10" s="20"/>
      <c r="K10" s="20" t="s">
        <v>347</v>
      </c>
      <c r="L10" s="20" t="s">
        <v>348</v>
      </c>
      <c r="M10" s="20" t="s">
        <v>349</v>
      </c>
      <c r="N10" s="148" t="s">
        <v>151</v>
      </c>
      <c r="O10" s="20" t="s">
        <v>377</v>
      </c>
      <c r="P10" s="20"/>
      <c r="Q10" s="20"/>
      <c r="R10" s="20" t="s">
        <v>378</v>
      </c>
      <c r="S10" s="20" t="s">
        <v>379</v>
      </c>
    </row>
    <row r="11" spans="2:21" ht="75" x14ac:dyDescent="0.25">
      <c r="B11" s="50">
        <v>8</v>
      </c>
      <c r="C11" s="20" t="s">
        <v>380</v>
      </c>
      <c r="D11" s="20" t="s">
        <v>77</v>
      </c>
      <c r="E11" s="20" t="s">
        <v>381</v>
      </c>
      <c r="F11" s="17" t="s">
        <v>342</v>
      </c>
      <c r="G11" s="20" t="s">
        <v>382</v>
      </c>
      <c r="H11" s="138" t="s">
        <v>1089</v>
      </c>
      <c r="I11" s="45" t="s">
        <v>201</v>
      </c>
      <c r="J11" s="20"/>
      <c r="K11" s="20" t="s">
        <v>347</v>
      </c>
      <c r="L11" s="20" t="s">
        <v>349</v>
      </c>
      <c r="M11" s="20" t="s">
        <v>349</v>
      </c>
      <c r="N11" s="127" t="s">
        <v>202</v>
      </c>
      <c r="O11" s="20"/>
      <c r="P11" s="20"/>
      <c r="Q11" s="20"/>
      <c r="R11" s="20" t="s">
        <v>384</v>
      </c>
      <c r="S11" s="14" t="s">
        <v>385</v>
      </c>
    </row>
    <row r="12" spans="2:21" ht="75" x14ac:dyDescent="0.25">
      <c r="B12" s="50">
        <v>9</v>
      </c>
      <c r="C12" s="20" t="s">
        <v>386</v>
      </c>
      <c r="D12" s="20" t="s">
        <v>213</v>
      </c>
      <c r="E12" s="20" t="s">
        <v>387</v>
      </c>
      <c r="F12" s="20" t="s">
        <v>331</v>
      </c>
      <c r="G12" s="20" t="s">
        <v>332</v>
      </c>
      <c r="H12" s="138" t="s">
        <v>1087</v>
      </c>
      <c r="I12" s="45" t="s">
        <v>214</v>
      </c>
      <c r="J12" s="20"/>
      <c r="K12" s="20" t="s">
        <v>347</v>
      </c>
      <c r="L12" s="20" t="s">
        <v>349</v>
      </c>
      <c r="M12" s="20" t="s">
        <v>349</v>
      </c>
      <c r="N12" s="20" t="s">
        <v>215</v>
      </c>
      <c r="O12" s="145">
        <v>45445</v>
      </c>
      <c r="P12" s="20"/>
      <c r="Q12" s="20"/>
      <c r="R12" s="20" t="s">
        <v>388</v>
      </c>
      <c r="S12" s="20"/>
    </row>
    <row r="13" spans="2:21" ht="47.25" x14ac:dyDescent="0.25">
      <c r="B13" s="50">
        <v>10</v>
      </c>
      <c r="C13" s="20" t="s">
        <v>389</v>
      </c>
      <c r="D13" s="20" t="s">
        <v>185</v>
      </c>
      <c r="E13" s="20" t="s">
        <v>390</v>
      </c>
      <c r="F13" s="20" t="s">
        <v>331</v>
      </c>
      <c r="G13" s="20" t="s">
        <v>332</v>
      </c>
      <c r="H13" s="138" t="s">
        <v>1088</v>
      </c>
      <c r="I13" s="127" t="s">
        <v>242</v>
      </c>
      <c r="J13" s="20"/>
      <c r="K13" s="20" t="s">
        <v>335</v>
      </c>
      <c r="L13" s="20" t="s">
        <v>349</v>
      </c>
      <c r="M13" s="20" t="s">
        <v>349</v>
      </c>
      <c r="N13" s="20" t="s">
        <v>122</v>
      </c>
      <c r="O13" s="20"/>
      <c r="P13" s="20"/>
      <c r="Q13" s="20"/>
      <c r="R13" s="20" t="s">
        <v>391</v>
      </c>
      <c r="S13" s="20"/>
    </row>
    <row r="14" spans="2:21" ht="63" x14ac:dyDescent="0.25">
      <c r="B14" s="50">
        <v>11</v>
      </c>
      <c r="C14" s="20" t="s">
        <v>392</v>
      </c>
      <c r="D14" s="20" t="s">
        <v>77</v>
      </c>
      <c r="E14" s="20" t="s">
        <v>393</v>
      </c>
      <c r="F14" s="17" t="s">
        <v>342</v>
      </c>
      <c r="G14" s="20" t="s">
        <v>332</v>
      </c>
      <c r="H14" s="138" t="s">
        <v>344</v>
      </c>
      <c r="I14" s="166" t="s">
        <v>255</v>
      </c>
      <c r="J14" s="20"/>
      <c r="K14" s="20" t="s">
        <v>335</v>
      </c>
      <c r="L14" s="20"/>
      <c r="M14" s="20" t="s">
        <v>349</v>
      </c>
      <c r="N14" s="20" t="s">
        <v>122</v>
      </c>
      <c r="O14" s="20"/>
      <c r="P14" s="20"/>
      <c r="Q14" s="20"/>
      <c r="R14" s="20" t="s">
        <v>394</v>
      </c>
      <c r="S14" s="20"/>
    </row>
    <row r="15" spans="2:21" ht="142.5" customHeight="1" x14ac:dyDescent="0.25">
      <c r="B15" s="50">
        <v>12</v>
      </c>
      <c r="C15" s="20" t="s">
        <v>395</v>
      </c>
      <c r="D15" s="20" t="s">
        <v>185</v>
      </c>
      <c r="E15" s="20" t="s">
        <v>396</v>
      </c>
      <c r="F15" s="17" t="s">
        <v>342</v>
      </c>
      <c r="G15" s="20" t="s">
        <v>332</v>
      </c>
      <c r="H15" s="138" t="s">
        <v>397</v>
      </c>
      <c r="I15" s="166" t="s">
        <v>281</v>
      </c>
      <c r="J15" s="20"/>
      <c r="K15" s="20" t="s">
        <v>335</v>
      </c>
      <c r="L15" s="20" t="s">
        <v>349</v>
      </c>
      <c r="M15" s="20" t="s">
        <v>349</v>
      </c>
      <c r="N15" s="20" t="s">
        <v>249</v>
      </c>
      <c r="O15" s="145">
        <v>45547</v>
      </c>
      <c r="P15" s="20"/>
      <c r="Q15" s="145">
        <v>45652</v>
      </c>
      <c r="R15" s="127" t="s">
        <v>1092</v>
      </c>
      <c r="S15" s="20"/>
    </row>
    <row r="16" spans="2:21" ht="78.75" x14ac:dyDescent="0.25">
      <c r="B16" s="50">
        <v>13</v>
      </c>
      <c r="C16" s="20" t="s">
        <v>900</v>
      </c>
      <c r="D16" s="20" t="s">
        <v>77</v>
      </c>
      <c r="E16" s="20" t="s">
        <v>901</v>
      </c>
      <c r="F16" s="20" t="s">
        <v>331</v>
      </c>
      <c r="G16" s="20" t="s">
        <v>332</v>
      </c>
      <c r="H16" s="138" t="s">
        <v>372</v>
      </c>
      <c r="I16" s="166" t="s">
        <v>899</v>
      </c>
      <c r="J16" s="20"/>
      <c r="K16" s="20" t="s">
        <v>335</v>
      </c>
      <c r="L16" s="20" t="s">
        <v>349</v>
      </c>
      <c r="M16" s="20" t="s">
        <v>349</v>
      </c>
      <c r="N16" s="20" t="s">
        <v>616</v>
      </c>
      <c r="O16" s="145"/>
      <c r="P16" s="20"/>
      <c r="Q16" s="20"/>
      <c r="R16" s="127" t="s">
        <v>902</v>
      </c>
      <c r="S16" s="20"/>
    </row>
    <row r="17" spans="2:19" ht="172.5" customHeight="1" x14ac:dyDescent="0.25">
      <c r="B17" s="50">
        <v>14</v>
      </c>
      <c r="C17" s="20" t="s">
        <v>944</v>
      </c>
      <c r="D17" s="20" t="s">
        <v>77</v>
      </c>
      <c r="E17" s="20" t="s">
        <v>945</v>
      </c>
      <c r="F17" s="17" t="s">
        <v>342</v>
      </c>
      <c r="G17" s="20" t="s">
        <v>332</v>
      </c>
      <c r="H17" s="138" t="s">
        <v>383</v>
      </c>
      <c r="I17" s="166" t="s">
        <v>946</v>
      </c>
      <c r="J17" s="20"/>
      <c r="K17" s="20" t="s">
        <v>417</v>
      </c>
      <c r="L17" s="20"/>
      <c r="M17" s="20" t="s">
        <v>349</v>
      </c>
      <c r="N17" s="20" t="s">
        <v>53</v>
      </c>
      <c r="O17" s="145"/>
      <c r="P17" s="20"/>
      <c r="Q17" s="20"/>
      <c r="R17" s="231" t="s">
        <v>943</v>
      </c>
      <c r="S17" s="20" t="s">
        <v>947</v>
      </c>
    </row>
    <row r="18" spans="2:19" ht="15.75" x14ac:dyDescent="0.25">
      <c r="B18" s="50"/>
      <c r="C18" s="20"/>
      <c r="D18" s="20"/>
      <c r="E18" s="20"/>
      <c r="F18" s="17"/>
      <c r="G18" s="20"/>
      <c r="H18" s="138"/>
      <c r="I18" s="166"/>
      <c r="J18" s="20"/>
      <c r="K18" s="20"/>
      <c r="L18" s="20"/>
      <c r="M18" s="20"/>
      <c r="N18" s="20"/>
      <c r="O18" s="145"/>
      <c r="P18" s="20"/>
      <c r="Q18" s="20"/>
      <c r="R18" s="166"/>
      <c r="S18" s="20"/>
    </row>
    <row r="19" spans="2:19" x14ac:dyDescent="0.25">
      <c r="B19" s="7"/>
      <c r="C19" s="7"/>
      <c r="D19" s="7"/>
      <c r="E19" s="7"/>
      <c r="F19" s="7"/>
      <c r="G19" s="7"/>
      <c r="H19" s="7"/>
      <c r="I19" s="57"/>
      <c r="J19" s="7"/>
      <c r="K19" s="7"/>
      <c r="L19" s="7"/>
      <c r="M19" s="7"/>
      <c r="N19" s="7"/>
      <c r="O19" s="7"/>
      <c r="P19" s="7"/>
      <c r="Q19" s="7"/>
      <c r="R19" s="57"/>
    </row>
    <row r="20" spans="2:19" x14ac:dyDescent="0.25">
      <c r="B20" s="7"/>
      <c r="C20" s="7"/>
      <c r="D20" s="7"/>
      <c r="E20" s="7"/>
      <c r="F20" s="7"/>
      <c r="G20" s="7"/>
      <c r="H20" s="7"/>
      <c r="I20" s="57"/>
      <c r="J20" s="7"/>
      <c r="K20" s="7"/>
      <c r="L20" s="7"/>
      <c r="M20" s="7"/>
      <c r="N20" s="7"/>
      <c r="O20" s="7"/>
      <c r="P20" s="7"/>
      <c r="Q20" s="7"/>
      <c r="R20" s="57"/>
    </row>
    <row r="21" spans="2:19" x14ac:dyDescent="0.25">
      <c r="B21" s="7"/>
      <c r="C21" s="7"/>
      <c r="D21" s="7"/>
      <c r="E21" s="7"/>
      <c r="F21" s="7"/>
      <c r="G21" s="7"/>
      <c r="H21" s="7"/>
      <c r="I21" s="57"/>
      <c r="J21" s="7"/>
      <c r="K21" s="7"/>
      <c r="L21" s="7"/>
      <c r="M21" s="7"/>
      <c r="N21" s="7"/>
      <c r="O21" s="7"/>
      <c r="P21" s="7"/>
      <c r="Q21" s="7"/>
      <c r="R21" s="57"/>
    </row>
    <row r="22" spans="2:19" x14ac:dyDescent="0.25">
      <c r="B22" s="7"/>
      <c r="C22" s="7"/>
      <c r="D22" s="7"/>
      <c r="E22" s="7"/>
      <c r="F22" s="7"/>
      <c r="G22" s="7"/>
      <c r="H22" s="7"/>
      <c r="I22" s="57"/>
      <c r="J22" s="7"/>
      <c r="K22" s="7"/>
      <c r="L22" s="7"/>
      <c r="M22" s="7"/>
      <c r="N22" s="7"/>
      <c r="O22" s="7"/>
      <c r="P22" s="7"/>
      <c r="Q22" s="7"/>
      <c r="R22" s="57"/>
    </row>
    <row r="23" spans="2:19" x14ac:dyDescent="0.25">
      <c r="B23" s="7"/>
      <c r="C23" s="7"/>
      <c r="D23" s="7"/>
      <c r="E23" s="7"/>
      <c r="F23" s="7"/>
      <c r="G23" s="7"/>
      <c r="H23" s="7"/>
      <c r="I23" s="57"/>
      <c r="J23" s="7"/>
      <c r="K23" s="7"/>
      <c r="L23" s="7"/>
      <c r="M23" s="7"/>
      <c r="N23" s="7"/>
      <c r="O23" s="7"/>
      <c r="P23" s="7"/>
      <c r="Q23" s="7"/>
      <c r="R23" s="57"/>
    </row>
    <row r="24" spans="2:19" x14ac:dyDescent="0.25">
      <c r="B24" s="7"/>
      <c r="C24" s="7"/>
      <c r="D24" s="7"/>
      <c r="E24" s="7"/>
      <c r="F24" s="7"/>
      <c r="G24" s="7"/>
      <c r="H24" s="7"/>
      <c r="I24" s="57"/>
      <c r="J24" s="7"/>
      <c r="K24" s="7"/>
      <c r="L24" s="7"/>
      <c r="M24" s="7"/>
      <c r="N24" s="7"/>
      <c r="O24" s="7"/>
      <c r="P24" s="7"/>
      <c r="Q24" s="7"/>
      <c r="R24" s="57"/>
    </row>
    <row r="25" spans="2:19" x14ac:dyDescent="0.25">
      <c r="B25" s="7"/>
      <c r="C25" s="7"/>
      <c r="D25" s="7"/>
      <c r="E25" s="7"/>
      <c r="F25" s="7"/>
      <c r="G25" s="7"/>
      <c r="H25" s="7"/>
      <c r="I25" s="57"/>
      <c r="J25" s="7"/>
      <c r="K25" s="7"/>
      <c r="L25" s="7"/>
      <c r="M25" s="7"/>
      <c r="N25" s="7"/>
      <c r="O25" s="7"/>
      <c r="P25" s="7"/>
      <c r="Q25" s="7"/>
      <c r="R25" s="57"/>
    </row>
    <row r="26" spans="2:19" x14ac:dyDescent="0.25">
      <c r="B26" s="7"/>
      <c r="C26" s="7"/>
      <c r="D26" s="7"/>
      <c r="E26" s="7"/>
      <c r="F26" s="7"/>
      <c r="G26" s="7"/>
      <c r="H26" s="7"/>
      <c r="I26" s="57"/>
      <c r="J26" s="7"/>
      <c r="K26" s="7"/>
      <c r="L26" s="7"/>
      <c r="M26" s="7"/>
      <c r="N26" s="7"/>
      <c r="O26" s="7"/>
      <c r="P26" s="7"/>
      <c r="Q26" s="7"/>
      <c r="R26" s="57"/>
    </row>
    <row r="27" spans="2:19" x14ac:dyDescent="0.25">
      <c r="B27" s="7"/>
      <c r="C27" s="7"/>
      <c r="D27" s="7"/>
      <c r="E27" s="7"/>
      <c r="F27" s="7"/>
      <c r="G27" s="7"/>
      <c r="H27" s="7"/>
      <c r="I27" s="57"/>
      <c r="J27" s="7"/>
      <c r="K27" s="7"/>
      <c r="L27" s="7"/>
      <c r="M27" s="7"/>
      <c r="N27" s="7"/>
      <c r="O27" s="7"/>
      <c r="P27" s="7"/>
      <c r="Q27" s="7"/>
      <c r="R27" s="57"/>
    </row>
    <row r="28" spans="2:19" x14ac:dyDescent="0.25">
      <c r="B28" s="7"/>
      <c r="C28" s="7"/>
      <c r="D28" s="7"/>
      <c r="E28" s="7"/>
      <c r="F28" s="7"/>
      <c r="G28" s="7"/>
      <c r="H28" s="7"/>
      <c r="I28" s="57"/>
      <c r="J28" s="7"/>
      <c r="K28" s="7"/>
      <c r="L28" s="7"/>
      <c r="M28" s="7"/>
      <c r="N28" s="7"/>
      <c r="O28" s="7"/>
      <c r="P28" s="7"/>
      <c r="Q28" s="7"/>
      <c r="R28" s="57"/>
    </row>
    <row r="29" spans="2:19" x14ac:dyDescent="0.25">
      <c r="B29" s="7"/>
      <c r="C29" s="7"/>
      <c r="D29" s="7"/>
      <c r="E29" s="7"/>
      <c r="F29" s="7"/>
      <c r="G29" s="7"/>
      <c r="H29" s="7"/>
      <c r="I29" s="57"/>
      <c r="J29" s="7"/>
      <c r="K29" s="7"/>
      <c r="L29" s="7"/>
      <c r="M29" s="7"/>
      <c r="N29" s="7"/>
      <c r="O29" s="7"/>
      <c r="P29" s="7"/>
      <c r="Q29" s="7"/>
      <c r="R29" s="57"/>
    </row>
    <row r="30" spans="2:19" x14ac:dyDescent="0.25">
      <c r="B30" s="7"/>
      <c r="C30" s="7"/>
      <c r="D30" s="7"/>
      <c r="E30" s="7"/>
      <c r="F30" s="7"/>
      <c r="G30" s="7"/>
      <c r="H30" s="7"/>
      <c r="I30" s="57"/>
      <c r="J30" s="7"/>
      <c r="K30" s="7"/>
      <c r="L30" s="7"/>
      <c r="M30" s="7"/>
      <c r="N30" s="7"/>
      <c r="O30" s="7"/>
      <c r="P30" s="7"/>
      <c r="Q30" s="7"/>
      <c r="R30" s="57"/>
    </row>
    <row r="31" spans="2:19" x14ac:dyDescent="0.25">
      <c r="B31" s="7"/>
      <c r="C31" s="7"/>
      <c r="D31" s="7"/>
      <c r="E31" s="7"/>
      <c r="F31" s="7"/>
      <c r="G31" s="7"/>
      <c r="H31" s="7"/>
      <c r="I31" s="57"/>
      <c r="J31" s="7"/>
      <c r="K31" s="7"/>
      <c r="L31" s="7"/>
      <c r="M31" s="7"/>
      <c r="N31" s="7"/>
      <c r="O31" s="7"/>
      <c r="P31" s="7"/>
      <c r="Q31" s="7"/>
      <c r="R31" s="57"/>
    </row>
    <row r="32" spans="2:19" x14ac:dyDescent="0.25">
      <c r="B32" s="7"/>
      <c r="C32" s="7"/>
      <c r="D32" s="7"/>
      <c r="E32" s="7"/>
      <c r="F32" s="7"/>
      <c r="G32" s="7"/>
      <c r="H32" s="7"/>
      <c r="I32" s="57"/>
      <c r="J32" s="7"/>
      <c r="K32" s="7"/>
      <c r="L32" s="7"/>
      <c r="M32" s="7"/>
      <c r="N32" s="7"/>
      <c r="O32" s="7"/>
      <c r="P32" s="7"/>
      <c r="Q32" s="7"/>
      <c r="R32" s="57"/>
    </row>
    <row r="33" spans="2:18" x14ac:dyDescent="0.25">
      <c r="B33" s="7"/>
      <c r="C33" s="7"/>
      <c r="D33" s="7"/>
      <c r="E33" s="7"/>
      <c r="F33" s="7"/>
      <c r="G33" s="7"/>
      <c r="H33" s="7"/>
      <c r="I33" s="57"/>
      <c r="J33" s="7"/>
      <c r="K33" s="7"/>
      <c r="L33" s="7"/>
      <c r="M33" s="7"/>
      <c r="N33" s="7"/>
      <c r="O33" s="7"/>
      <c r="P33" s="7"/>
      <c r="Q33" s="7"/>
      <c r="R33" s="57"/>
    </row>
    <row r="34" spans="2:18" x14ac:dyDescent="0.25">
      <c r="B34" s="7"/>
      <c r="C34" s="7"/>
      <c r="D34" s="7"/>
      <c r="E34" s="7"/>
      <c r="F34" s="7"/>
      <c r="G34" s="7"/>
      <c r="H34" s="7"/>
      <c r="I34" s="57"/>
      <c r="J34" s="7"/>
      <c r="K34" s="7"/>
      <c r="L34" s="7"/>
      <c r="M34" s="7"/>
      <c r="N34" s="7"/>
      <c r="O34" s="7"/>
      <c r="P34" s="7"/>
      <c r="Q34" s="7"/>
      <c r="R34" s="57"/>
    </row>
    <row r="35" spans="2:18" x14ac:dyDescent="0.25">
      <c r="B35" s="7"/>
      <c r="C35" s="7"/>
      <c r="D35" s="7"/>
      <c r="E35" s="7"/>
      <c r="F35" s="7"/>
      <c r="G35" s="7"/>
      <c r="H35" s="7"/>
      <c r="I35" s="57"/>
      <c r="J35" s="7"/>
      <c r="K35" s="7"/>
      <c r="L35" s="7"/>
      <c r="M35" s="7"/>
      <c r="N35" s="7"/>
      <c r="O35" s="7"/>
      <c r="P35" s="7"/>
      <c r="Q35" s="7"/>
      <c r="R35" s="57"/>
    </row>
    <row r="36" spans="2:18" x14ac:dyDescent="0.25">
      <c r="B36" s="7"/>
      <c r="C36" s="7"/>
      <c r="D36" s="7"/>
      <c r="E36" s="7"/>
      <c r="F36" s="7"/>
      <c r="G36" s="7"/>
      <c r="H36" s="7"/>
      <c r="I36" s="57"/>
      <c r="J36" s="7"/>
      <c r="K36" s="7"/>
      <c r="L36" s="7"/>
      <c r="M36" s="7"/>
      <c r="N36" s="7"/>
      <c r="O36" s="7"/>
      <c r="P36" s="7"/>
      <c r="Q36" s="7"/>
      <c r="R36" s="57"/>
    </row>
    <row r="37" spans="2:18" x14ac:dyDescent="0.25">
      <c r="B37" s="7"/>
      <c r="C37" s="7"/>
      <c r="D37" s="7"/>
      <c r="E37" s="7"/>
      <c r="F37" s="7"/>
      <c r="G37" s="7"/>
      <c r="H37" s="7"/>
      <c r="I37" s="57"/>
      <c r="J37" s="7"/>
      <c r="K37" s="7"/>
      <c r="L37" s="7"/>
      <c r="M37" s="7"/>
      <c r="N37" s="7"/>
      <c r="O37" s="7"/>
      <c r="P37" s="7"/>
      <c r="Q37" s="7"/>
      <c r="R37" s="57"/>
    </row>
    <row r="38" spans="2:18" x14ac:dyDescent="0.25">
      <c r="B38" s="7"/>
      <c r="C38" s="7"/>
      <c r="D38" s="7"/>
      <c r="E38" s="7"/>
      <c r="F38" s="7"/>
      <c r="G38" s="7"/>
      <c r="H38" s="7"/>
      <c r="I38" s="57"/>
      <c r="J38" s="7"/>
      <c r="K38" s="7"/>
      <c r="L38" s="7"/>
      <c r="M38" s="7"/>
      <c r="N38" s="7"/>
      <c r="O38" s="7"/>
      <c r="P38" s="7"/>
      <c r="Q38" s="7"/>
      <c r="R38" s="57"/>
    </row>
    <row r="39" spans="2:18" x14ac:dyDescent="0.25">
      <c r="B39" s="7"/>
      <c r="C39" s="7"/>
      <c r="D39" s="7"/>
      <c r="E39" s="7"/>
      <c r="F39" s="7"/>
      <c r="G39" s="7"/>
      <c r="H39" s="7"/>
      <c r="I39" s="57"/>
      <c r="J39" s="7"/>
      <c r="K39" s="7"/>
      <c r="L39" s="7"/>
      <c r="M39" s="7"/>
      <c r="N39" s="7"/>
      <c r="O39" s="7"/>
      <c r="P39" s="7"/>
      <c r="Q39" s="7"/>
      <c r="R39" s="57"/>
    </row>
    <row r="40" spans="2:18" x14ac:dyDescent="0.25">
      <c r="B40" s="7"/>
      <c r="C40" s="7"/>
      <c r="D40" s="7"/>
      <c r="E40" s="7"/>
      <c r="F40" s="7"/>
      <c r="G40" s="7"/>
      <c r="H40" s="7"/>
      <c r="I40" s="57"/>
      <c r="J40" s="7"/>
      <c r="K40" s="7"/>
      <c r="L40" s="7"/>
      <c r="M40" s="7"/>
      <c r="N40" s="7"/>
      <c r="O40" s="7"/>
      <c r="P40" s="7"/>
      <c r="Q40" s="7"/>
      <c r="R40" s="57"/>
    </row>
    <row r="41" spans="2:18" x14ac:dyDescent="0.25">
      <c r="B41" s="7"/>
      <c r="C41" s="7"/>
      <c r="D41" s="7"/>
      <c r="E41" s="7"/>
      <c r="F41" s="7"/>
      <c r="G41" s="7"/>
      <c r="H41" s="7"/>
      <c r="I41" s="57"/>
      <c r="J41" s="7"/>
      <c r="K41" s="7"/>
      <c r="L41" s="7"/>
      <c r="M41" s="7"/>
      <c r="N41" s="7"/>
      <c r="O41" s="7"/>
      <c r="P41" s="7"/>
      <c r="Q41" s="7"/>
      <c r="R41" s="57"/>
    </row>
    <row r="42" spans="2:18" x14ac:dyDescent="0.25">
      <c r="B42" s="7"/>
      <c r="C42" s="7"/>
      <c r="D42" s="7"/>
      <c r="E42" s="7"/>
      <c r="F42" s="7"/>
      <c r="G42" s="7"/>
      <c r="H42" s="7"/>
      <c r="I42" s="57"/>
      <c r="J42" s="7"/>
      <c r="K42" s="7"/>
      <c r="L42" s="7"/>
      <c r="M42" s="7"/>
      <c r="N42" s="7"/>
      <c r="O42" s="7"/>
      <c r="P42" s="7"/>
      <c r="Q42" s="7"/>
      <c r="R42" s="57"/>
    </row>
    <row r="43" spans="2:18" x14ac:dyDescent="0.25">
      <c r="B43" s="7"/>
      <c r="C43" s="7"/>
      <c r="D43" s="7"/>
      <c r="E43" s="7"/>
      <c r="F43" s="7"/>
      <c r="G43" s="7"/>
      <c r="H43" s="7"/>
      <c r="I43" s="57"/>
      <c r="J43" s="7"/>
      <c r="K43" s="7"/>
      <c r="L43" s="7"/>
      <c r="M43" s="7"/>
      <c r="N43" s="7"/>
      <c r="O43" s="7"/>
      <c r="P43" s="7"/>
      <c r="Q43" s="7"/>
      <c r="R43" s="57"/>
    </row>
    <row r="44" spans="2:18" x14ac:dyDescent="0.25">
      <c r="B44" s="7"/>
      <c r="C44" s="7"/>
      <c r="D44" s="7"/>
      <c r="E44" s="7"/>
      <c r="F44" s="7"/>
      <c r="G44" s="7"/>
      <c r="H44" s="7"/>
      <c r="I44" s="57"/>
      <c r="J44" s="7"/>
      <c r="K44" s="7"/>
      <c r="L44" s="7"/>
      <c r="M44" s="7"/>
      <c r="N44" s="7"/>
      <c r="O44" s="7"/>
      <c r="P44" s="7"/>
      <c r="Q44" s="7"/>
      <c r="R44" s="57"/>
    </row>
    <row r="45" spans="2:18" x14ac:dyDescent="0.25">
      <c r="B45" s="7"/>
      <c r="C45" s="7"/>
      <c r="D45" s="7"/>
      <c r="E45" s="7"/>
      <c r="F45" s="7"/>
      <c r="G45" s="7"/>
      <c r="H45" s="7"/>
      <c r="I45" s="57"/>
      <c r="J45" s="7"/>
      <c r="K45" s="7"/>
      <c r="L45" s="7"/>
      <c r="M45" s="7"/>
      <c r="N45" s="7"/>
      <c r="O45" s="7"/>
      <c r="P45" s="7"/>
      <c r="Q45" s="7"/>
      <c r="R45" s="57"/>
    </row>
    <row r="46" spans="2:18" x14ac:dyDescent="0.25">
      <c r="B46" s="7"/>
      <c r="C46" s="7"/>
      <c r="D46" s="7"/>
      <c r="E46" s="7"/>
      <c r="F46" s="7"/>
      <c r="G46" s="7"/>
      <c r="H46" s="7"/>
      <c r="I46" s="57"/>
      <c r="J46" s="7"/>
      <c r="K46" s="7"/>
      <c r="L46" s="7"/>
      <c r="M46" s="7"/>
      <c r="N46" s="7"/>
      <c r="O46" s="7"/>
      <c r="P46" s="7"/>
      <c r="Q46" s="7"/>
      <c r="R46" s="57"/>
    </row>
    <row r="47" spans="2:18" x14ac:dyDescent="0.25">
      <c r="B47" s="7"/>
      <c r="C47" s="7"/>
      <c r="D47" s="7"/>
      <c r="E47" s="7"/>
      <c r="F47" s="7"/>
      <c r="G47" s="7"/>
      <c r="H47" s="7"/>
      <c r="I47" s="57"/>
      <c r="J47" s="7"/>
      <c r="K47" s="7"/>
      <c r="L47" s="7"/>
      <c r="M47" s="7"/>
      <c r="N47" s="7"/>
      <c r="O47" s="7"/>
      <c r="P47" s="7"/>
      <c r="Q47" s="7"/>
      <c r="R47" s="57"/>
    </row>
    <row r="48" spans="2:18" x14ac:dyDescent="0.25">
      <c r="B48" s="7"/>
      <c r="C48" s="7"/>
      <c r="D48" s="7"/>
      <c r="E48" s="7"/>
      <c r="F48" s="7"/>
      <c r="G48" s="7"/>
      <c r="H48" s="7"/>
      <c r="I48" s="57"/>
      <c r="J48" s="7"/>
      <c r="K48" s="7"/>
      <c r="L48" s="7"/>
      <c r="M48" s="7"/>
      <c r="N48" s="7"/>
      <c r="O48" s="7"/>
      <c r="P48" s="7"/>
      <c r="Q48" s="7"/>
      <c r="R48" s="57"/>
    </row>
    <row r="49" spans="2:18" x14ac:dyDescent="0.25">
      <c r="B49" s="7"/>
      <c r="C49" s="7"/>
      <c r="D49" s="7"/>
      <c r="E49" s="7"/>
      <c r="F49" s="7"/>
      <c r="G49" s="7"/>
      <c r="H49" s="7"/>
      <c r="I49" s="57"/>
      <c r="J49" s="7"/>
      <c r="K49" s="7"/>
      <c r="L49" s="7"/>
      <c r="M49" s="7"/>
      <c r="N49" s="7"/>
      <c r="O49" s="7"/>
      <c r="P49" s="7"/>
      <c r="Q49" s="7"/>
      <c r="R49" s="57"/>
    </row>
    <row r="50" spans="2:18" x14ac:dyDescent="0.25">
      <c r="B50" s="7"/>
      <c r="C50" s="7"/>
      <c r="D50" s="7"/>
      <c r="E50" s="7"/>
      <c r="F50" s="7"/>
      <c r="G50" s="7"/>
      <c r="H50" s="7"/>
      <c r="I50" s="57"/>
      <c r="J50" s="7"/>
      <c r="K50" s="7"/>
      <c r="L50" s="7"/>
      <c r="M50" s="7"/>
      <c r="N50" s="7"/>
      <c r="O50" s="7"/>
      <c r="P50" s="7"/>
      <c r="Q50" s="7"/>
      <c r="R50" s="57"/>
    </row>
    <row r="51" spans="2:18" x14ac:dyDescent="0.25">
      <c r="B51" s="7"/>
      <c r="C51" s="7"/>
      <c r="D51" s="7"/>
      <c r="E51" s="7"/>
      <c r="F51" s="7"/>
      <c r="G51" s="7"/>
      <c r="H51" s="7"/>
      <c r="I51" s="57"/>
      <c r="J51" s="7"/>
      <c r="K51" s="7"/>
      <c r="L51" s="7"/>
      <c r="M51" s="7"/>
      <c r="N51" s="7"/>
      <c r="O51" s="7"/>
      <c r="P51" s="7"/>
      <c r="Q51" s="7"/>
      <c r="R51" s="57"/>
    </row>
    <row r="52" spans="2:18" x14ac:dyDescent="0.25">
      <c r="B52" s="7"/>
      <c r="C52" s="7"/>
      <c r="D52" s="7"/>
      <c r="E52" s="7"/>
      <c r="F52" s="7"/>
      <c r="G52" s="7"/>
      <c r="H52" s="7"/>
      <c r="I52" s="57"/>
      <c r="J52" s="7"/>
      <c r="K52" s="7"/>
      <c r="L52" s="7"/>
      <c r="M52" s="7"/>
      <c r="N52" s="7"/>
      <c r="O52" s="7"/>
      <c r="P52" s="7"/>
      <c r="Q52" s="7"/>
      <c r="R52" s="57"/>
    </row>
    <row r="53" spans="2:18" x14ac:dyDescent="0.25">
      <c r="B53" s="7"/>
      <c r="C53" s="7"/>
      <c r="D53" s="7"/>
      <c r="E53" s="7"/>
      <c r="F53" s="7"/>
      <c r="G53" s="7"/>
      <c r="H53" s="7"/>
      <c r="I53" s="57"/>
      <c r="J53" s="7"/>
      <c r="K53" s="7"/>
      <c r="L53" s="7"/>
      <c r="M53" s="7"/>
      <c r="N53" s="7"/>
      <c r="O53" s="7"/>
      <c r="P53" s="7"/>
      <c r="Q53" s="7"/>
      <c r="R53" s="57"/>
    </row>
    <row r="54" spans="2:18" x14ac:dyDescent="0.25">
      <c r="B54" s="7"/>
      <c r="C54" s="7"/>
      <c r="D54" s="7"/>
      <c r="E54" s="7"/>
      <c r="F54" s="7"/>
      <c r="G54" s="7"/>
      <c r="H54" s="7"/>
      <c r="I54" s="57"/>
      <c r="J54" s="7"/>
      <c r="K54" s="7"/>
      <c r="L54" s="7"/>
      <c r="M54" s="7"/>
      <c r="N54" s="7"/>
      <c r="O54" s="7"/>
      <c r="P54" s="7"/>
      <c r="Q54" s="7"/>
      <c r="R54" s="57"/>
    </row>
    <row r="55" spans="2:18" x14ac:dyDescent="0.25">
      <c r="B55" s="7"/>
      <c r="C55" s="7"/>
      <c r="D55" s="7"/>
      <c r="E55" s="7"/>
      <c r="F55" s="7"/>
      <c r="G55" s="7"/>
      <c r="H55" s="7"/>
      <c r="I55" s="57"/>
      <c r="J55" s="7"/>
      <c r="K55" s="7"/>
      <c r="L55" s="7"/>
      <c r="M55" s="7"/>
      <c r="N55" s="7"/>
      <c r="O55" s="7"/>
      <c r="P55" s="7"/>
      <c r="Q55" s="7"/>
      <c r="R55" s="57"/>
    </row>
    <row r="56" spans="2:18" x14ac:dyDescent="0.25">
      <c r="B56" s="7"/>
      <c r="C56" s="7"/>
      <c r="D56" s="7"/>
      <c r="E56" s="7"/>
      <c r="F56" s="7"/>
      <c r="G56" s="7"/>
      <c r="H56" s="7"/>
      <c r="I56" s="57"/>
      <c r="J56" s="7"/>
      <c r="K56" s="7"/>
      <c r="L56" s="7"/>
      <c r="M56" s="7"/>
      <c r="N56" s="7"/>
      <c r="O56" s="7"/>
      <c r="P56" s="7"/>
      <c r="Q56" s="7"/>
      <c r="R56" s="57"/>
    </row>
    <row r="57" spans="2:18" x14ac:dyDescent="0.25">
      <c r="B57" s="7"/>
      <c r="C57" s="7"/>
      <c r="D57" s="7"/>
      <c r="E57" s="7"/>
      <c r="F57" s="7"/>
      <c r="G57" s="7"/>
      <c r="H57" s="7"/>
      <c r="I57" s="57"/>
      <c r="J57" s="7"/>
      <c r="K57" s="7"/>
      <c r="L57" s="7"/>
      <c r="M57" s="7"/>
      <c r="N57" s="7"/>
      <c r="O57" s="7"/>
      <c r="P57" s="7"/>
      <c r="Q57" s="7"/>
      <c r="R57" s="57"/>
    </row>
    <row r="58" spans="2:18" x14ac:dyDescent="0.25">
      <c r="B58" s="7"/>
      <c r="C58" s="7"/>
      <c r="D58" s="7"/>
      <c r="E58" s="7"/>
      <c r="F58" s="7"/>
      <c r="G58" s="7"/>
      <c r="H58" s="7"/>
      <c r="I58" s="57"/>
      <c r="J58" s="7"/>
      <c r="K58" s="7"/>
      <c r="L58" s="7"/>
      <c r="M58" s="7"/>
      <c r="N58" s="7"/>
      <c r="O58" s="7"/>
      <c r="P58" s="7"/>
      <c r="Q58" s="7"/>
      <c r="R58" s="57"/>
    </row>
    <row r="59" spans="2:18" x14ac:dyDescent="0.25">
      <c r="B59" s="7"/>
      <c r="C59" s="7"/>
      <c r="D59" s="7"/>
      <c r="E59" s="7"/>
      <c r="F59" s="7"/>
      <c r="G59" s="7"/>
      <c r="H59" s="7"/>
      <c r="I59" s="57"/>
      <c r="J59" s="7"/>
      <c r="K59" s="7"/>
      <c r="L59" s="7"/>
      <c r="M59" s="7"/>
      <c r="N59" s="7"/>
      <c r="O59" s="7"/>
      <c r="P59" s="7"/>
      <c r="Q59" s="7"/>
      <c r="R59" s="57"/>
    </row>
    <row r="60" spans="2:18" x14ac:dyDescent="0.25">
      <c r="B60" s="7"/>
      <c r="C60" s="7"/>
      <c r="D60" s="7"/>
      <c r="E60" s="7"/>
      <c r="F60" s="7"/>
      <c r="G60" s="7"/>
      <c r="H60" s="7"/>
      <c r="I60" s="57"/>
      <c r="J60" s="7"/>
      <c r="K60" s="7"/>
      <c r="L60" s="7"/>
      <c r="M60" s="7"/>
      <c r="N60" s="7"/>
      <c r="O60" s="7"/>
      <c r="P60" s="7"/>
      <c r="Q60" s="7"/>
      <c r="R60" s="57"/>
    </row>
    <row r="61" spans="2:18" x14ac:dyDescent="0.25">
      <c r="B61" s="7"/>
      <c r="C61" s="7"/>
      <c r="D61" s="7"/>
      <c r="E61" s="7"/>
      <c r="F61" s="7"/>
      <c r="G61" s="7"/>
      <c r="H61" s="7"/>
      <c r="I61" s="57"/>
      <c r="J61" s="7"/>
      <c r="K61" s="7"/>
      <c r="L61" s="7"/>
      <c r="M61" s="7"/>
      <c r="N61" s="7"/>
      <c r="O61" s="7"/>
      <c r="P61" s="7"/>
      <c r="Q61" s="7"/>
      <c r="R61" s="57"/>
    </row>
    <row r="62" spans="2:18" x14ac:dyDescent="0.25">
      <c r="B62" s="7"/>
      <c r="C62" s="7"/>
      <c r="D62" s="7"/>
      <c r="E62" s="7"/>
      <c r="F62" s="7"/>
      <c r="G62" s="7"/>
      <c r="H62" s="7"/>
      <c r="I62" s="57"/>
      <c r="J62" s="7"/>
      <c r="K62" s="7"/>
      <c r="L62" s="7"/>
      <c r="M62" s="7"/>
      <c r="N62" s="7"/>
      <c r="O62" s="7"/>
      <c r="P62" s="7"/>
      <c r="Q62" s="7"/>
      <c r="R62" s="57"/>
    </row>
    <row r="63" spans="2:18" x14ac:dyDescent="0.25">
      <c r="B63" s="7"/>
      <c r="C63" s="7"/>
      <c r="D63" s="7"/>
      <c r="E63" s="7"/>
      <c r="F63" s="7"/>
      <c r="G63" s="7"/>
      <c r="H63" s="7"/>
      <c r="I63" s="57"/>
      <c r="J63" s="7"/>
      <c r="K63" s="7"/>
      <c r="L63" s="7"/>
      <c r="M63" s="7"/>
      <c r="N63" s="7"/>
      <c r="O63" s="7"/>
      <c r="P63" s="7"/>
      <c r="Q63" s="7"/>
      <c r="R63" s="57"/>
    </row>
    <row r="64" spans="2:18" x14ac:dyDescent="0.25">
      <c r="B64" s="7"/>
      <c r="C64" s="7"/>
      <c r="D64" s="7"/>
      <c r="E64" s="7"/>
      <c r="F64" s="7"/>
      <c r="G64" s="7"/>
      <c r="H64" s="7"/>
      <c r="I64" s="57"/>
      <c r="J64" s="7"/>
      <c r="K64" s="7"/>
      <c r="L64" s="7"/>
      <c r="M64" s="7"/>
      <c r="N64" s="7"/>
      <c r="O64" s="7"/>
      <c r="P64" s="7"/>
      <c r="Q64" s="7"/>
      <c r="R64" s="57"/>
    </row>
    <row r="65" spans="2:18" x14ac:dyDescent="0.25">
      <c r="B65" s="7"/>
      <c r="C65" s="7"/>
      <c r="D65" s="7"/>
      <c r="E65" s="7"/>
      <c r="F65" s="7"/>
      <c r="G65" s="7"/>
      <c r="H65" s="7"/>
      <c r="I65" s="57"/>
      <c r="J65" s="7"/>
      <c r="K65" s="7"/>
      <c r="L65" s="7"/>
      <c r="M65" s="7"/>
      <c r="N65" s="7"/>
      <c r="O65" s="7"/>
      <c r="P65" s="7"/>
      <c r="Q65" s="7"/>
      <c r="R65" s="57"/>
    </row>
    <row r="66" spans="2:18" x14ac:dyDescent="0.25">
      <c r="B66" s="7"/>
      <c r="C66" s="7"/>
      <c r="D66" s="7"/>
      <c r="E66" s="7"/>
      <c r="F66" s="7"/>
      <c r="G66" s="7"/>
      <c r="H66" s="7"/>
      <c r="I66" s="57"/>
      <c r="J66" s="7"/>
      <c r="K66" s="7"/>
      <c r="L66" s="7"/>
      <c r="M66" s="7"/>
      <c r="N66" s="7"/>
      <c r="O66" s="7"/>
      <c r="P66" s="7"/>
      <c r="Q66" s="7"/>
      <c r="R66" s="57"/>
    </row>
  </sheetData>
  <autoFilter ref="H2:H18"/>
  <mergeCells count="17">
    <mergeCell ref="N2:N3"/>
    <mergeCell ref="L2:M2"/>
    <mergeCell ref="O2:Q2"/>
    <mergeCell ref="G1:N1"/>
    <mergeCell ref="S2:S3"/>
    <mergeCell ref="F2:F3"/>
    <mergeCell ref="R2:R3"/>
    <mergeCell ref="O1:S1"/>
    <mergeCell ref="B1:F1"/>
    <mergeCell ref="B2:B3"/>
    <mergeCell ref="C2:C3"/>
    <mergeCell ref="D2:D3"/>
    <mergeCell ref="E2:E3"/>
    <mergeCell ref="G2:G3"/>
    <mergeCell ref="H2:H3"/>
    <mergeCell ref="I2:I3"/>
    <mergeCell ref="K2:K3"/>
  </mergeCells>
  <pageMargins left="0" right="0" top="0" bottom="0" header="0" footer="0"/>
  <pageSetup paperSize="9" scale="4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B1:O235"/>
  <sheetViews>
    <sheetView tabSelected="1" topLeftCell="A51" zoomScale="85" zoomScaleNormal="85" workbookViewId="0">
      <selection activeCell="G54" sqref="G54"/>
    </sheetView>
  </sheetViews>
  <sheetFormatPr defaultRowHeight="15" x14ac:dyDescent="0.25"/>
  <cols>
    <col min="1" max="1" width="3" customWidth="1"/>
    <col min="2" max="2" width="7.140625" style="7" customWidth="1"/>
    <col min="3" max="3" width="17.140625" style="5" customWidth="1"/>
    <col min="4" max="4" width="13.42578125" style="6" customWidth="1"/>
    <col min="5" max="5" width="9.5703125" style="7" customWidth="1"/>
    <col min="6" max="6" width="19.85546875" style="11" customWidth="1"/>
    <col min="7" max="7" width="42.28515625" style="7" customWidth="1"/>
    <col min="8" max="8" width="9.7109375" style="7" customWidth="1"/>
    <col min="9" max="9" width="9.28515625" style="6" customWidth="1"/>
    <col min="10" max="10" width="12.7109375" style="7" customWidth="1"/>
    <col min="11" max="11" width="21.5703125" style="8" customWidth="1"/>
    <col min="12" max="12" width="10.85546875" style="8" customWidth="1"/>
    <col min="13" max="13" width="15.140625" style="7" customWidth="1"/>
    <col min="14" max="14" width="33.42578125" style="8" customWidth="1"/>
    <col min="15" max="15" width="24" style="7" customWidth="1"/>
  </cols>
  <sheetData>
    <row r="1" spans="2:15" ht="61.5" customHeight="1" x14ac:dyDescent="0.25">
      <c r="B1" s="283"/>
      <c r="C1" s="284"/>
      <c r="D1" s="284"/>
      <c r="E1" s="284"/>
      <c r="F1" s="285"/>
      <c r="G1" s="291" t="s">
        <v>398</v>
      </c>
      <c r="H1" s="292"/>
      <c r="I1" s="292"/>
      <c r="J1" s="293"/>
      <c r="K1" s="300" t="s">
        <v>399</v>
      </c>
      <c r="L1" s="301"/>
      <c r="M1" s="301"/>
      <c r="N1" s="302"/>
      <c r="O1" s="12"/>
    </row>
    <row r="2" spans="2:15" ht="15.75" customHeight="1" thickBot="1" x14ac:dyDescent="0.3">
      <c r="B2" s="286"/>
      <c r="C2" s="287"/>
      <c r="D2" s="287"/>
      <c r="E2" s="287"/>
      <c r="F2" s="288"/>
      <c r="G2" s="294"/>
      <c r="H2" s="295"/>
      <c r="I2" s="295"/>
      <c r="J2" s="296"/>
      <c r="K2" s="303"/>
      <c r="L2" s="304"/>
      <c r="M2" s="304"/>
      <c r="N2" s="305"/>
      <c r="O2" s="12"/>
    </row>
    <row r="3" spans="2:15" ht="15.75" customHeight="1" thickBot="1" x14ac:dyDescent="0.3">
      <c r="B3" s="289" t="s">
        <v>400</v>
      </c>
      <c r="C3" s="266" t="s">
        <v>401</v>
      </c>
      <c r="D3" s="297" t="s">
        <v>402</v>
      </c>
      <c r="E3" s="298"/>
      <c r="F3" s="299"/>
      <c r="G3" s="266" t="s">
        <v>403</v>
      </c>
      <c r="H3" s="266" t="s">
        <v>404</v>
      </c>
      <c r="I3" s="260" t="s">
        <v>318</v>
      </c>
      <c r="J3" s="261"/>
      <c r="K3" s="268" t="s">
        <v>405</v>
      </c>
      <c r="L3" s="268" t="s">
        <v>327</v>
      </c>
      <c r="M3" s="268" t="s">
        <v>406</v>
      </c>
      <c r="N3" s="268" t="s">
        <v>407</v>
      </c>
      <c r="O3"/>
    </row>
    <row r="4" spans="2:15" ht="63" x14ac:dyDescent="0.25">
      <c r="B4" s="290"/>
      <c r="C4" s="268"/>
      <c r="D4" s="23" t="s">
        <v>408</v>
      </c>
      <c r="E4" s="213" t="s">
        <v>409</v>
      </c>
      <c r="F4" s="215" t="s">
        <v>410</v>
      </c>
      <c r="G4" s="268"/>
      <c r="H4" s="268"/>
      <c r="I4" s="213" t="s">
        <v>411</v>
      </c>
      <c r="J4" s="213" t="s">
        <v>412</v>
      </c>
      <c r="K4" s="268"/>
      <c r="L4" s="268"/>
      <c r="M4" s="268"/>
      <c r="N4" s="268"/>
      <c r="O4"/>
    </row>
    <row r="5" spans="2:15" ht="45" x14ac:dyDescent="0.25">
      <c r="B5" s="18">
        <v>1</v>
      </c>
      <c r="C5" s="18" t="s">
        <v>413</v>
      </c>
      <c r="D5" s="20" t="s">
        <v>16</v>
      </c>
      <c r="E5" s="19" t="s">
        <v>414</v>
      </c>
      <c r="F5" s="19" t="s">
        <v>415</v>
      </c>
      <c r="G5" s="19" t="s">
        <v>416</v>
      </c>
      <c r="H5" s="20" t="s">
        <v>417</v>
      </c>
      <c r="I5" s="20" t="s">
        <v>336</v>
      </c>
      <c r="J5" s="20" t="s">
        <v>337</v>
      </c>
      <c r="K5" s="20" t="s">
        <v>418</v>
      </c>
      <c r="L5" s="20"/>
      <c r="M5" s="53" t="s">
        <v>25</v>
      </c>
      <c r="N5" s="19" t="s">
        <v>419</v>
      </c>
    </row>
    <row r="6" spans="2:15" ht="45" hidden="1" x14ac:dyDescent="0.25">
      <c r="B6" s="18">
        <v>2</v>
      </c>
      <c r="C6" s="44" t="s">
        <v>420</v>
      </c>
      <c r="D6" s="42" t="s">
        <v>16</v>
      </c>
      <c r="E6" s="21" t="s">
        <v>421</v>
      </c>
      <c r="F6" s="21" t="s">
        <v>422</v>
      </c>
      <c r="G6" s="21" t="s">
        <v>423</v>
      </c>
      <c r="H6" s="42" t="s">
        <v>335</v>
      </c>
      <c r="I6" s="42" t="s">
        <v>336</v>
      </c>
      <c r="J6" s="20" t="s">
        <v>337</v>
      </c>
      <c r="K6" s="52" t="s">
        <v>424</v>
      </c>
      <c r="L6" s="44"/>
      <c r="M6" s="139" t="s">
        <v>29</v>
      </c>
      <c r="N6" s="21" t="s">
        <v>425</v>
      </c>
    </row>
    <row r="7" spans="2:15" ht="60" hidden="1" x14ac:dyDescent="0.25">
      <c r="B7" s="18">
        <v>3</v>
      </c>
      <c r="C7" s="20" t="s">
        <v>426</v>
      </c>
      <c r="D7" s="17" t="s">
        <v>16</v>
      </c>
      <c r="E7" s="19" t="s">
        <v>427</v>
      </c>
      <c r="F7" s="19" t="s">
        <v>428</v>
      </c>
      <c r="G7" s="19" t="s">
        <v>429</v>
      </c>
      <c r="H7" s="17" t="s">
        <v>417</v>
      </c>
      <c r="I7" s="17" t="s">
        <v>336</v>
      </c>
      <c r="J7" s="17" t="s">
        <v>337</v>
      </c>
      <c r="K7" s="20" t="s">
        <v>430</v>
      </c>
      <c r="L7" s="20"/>
      <c r="M7" s="53" t="s">
        <v>25</v>
      </c>
      <c r="N7" s="19" t="s">
        <v>431</v>
      </c>
    </row>
    <row r="8" spans="2:15" ht="30" x14ac:dyDescent="0.25">
      <c r="B8" s="18">
        <v>1</v>
      </c>
      <c r="C8" s="20" t="s">
        <v>432</v>
      </c>
      <c r="D8" s="20" t="s">
        <v>16</v>
      </c>
      <c r="E8" s="20" t="s">
        <v>433</v>
      </c>
      <c r="F8" s="19" t="s">
        <v>415</v>
      </c>
      <c r="G8" s="19" t="s">
        <v>434</v>
      </c>
      <c r="H8" s="20" t="s">
        <v>335</v>
      </c>
      <c r="I8" s="20" t="s">
        <v>336</v>
      </c>
      <c r="J8" s="20" t="s">
        <v>337</v>
      </c>
      <c r="K8" s="20" t="s">
        <v>435</v>
      </c>
      <c r="L8" s="20"/>
      <c r="M8" s="138" t="s">
        <v>19</v>
      </c>
      <c r="N8" s="19" t="s">
        <v>436</v>
      </c>
    </row>
    <row r="9" spans="2:15" s="10" customFormat="1" ht="45" hidden="1" x14ac:dyDescent="0.2">
      <c r="B9" s="18">
        <v>5</v>
      </c>
      <c r="C9" s="20" t="s">
        <v>437</v>
      </c>
      <c r="D9" s="20" t="s">
        <v>16</v>
      </c>
      <c r="E9" s="19" t="s">
        <v>438</v>
      </c>
      <c r="F9" s="19" t="s">
        <v>439</v>
      </c>
      <c r="G9" s="19" t="s">
        <v>440</v>
      </c>
      <c r="H9" s="20" t="s">
        <v>335</v>
      </c>
      <c r="I9" s="20" t="s">
        <v>336</v>
      </c>
      <c r="J9" s="20" t="s">
        <v>337</v>
      </c>
      <c r="K9" s="20" t="s">
        <v>441</v>
      </c>
      <c r="L9" s="19"/>
      <c r="M9" s="53" t="s">
        <v>25</v>
      </c>
      <c r="N9" s="19" t="s">
        <v>442</v>
      </c>
      <c r="O9" s="41"/>
    </row>
    <row r="10" spans="2:15" ht="75" x14ac:dyDescent="0.25">
      <c r="B10" s="18">
        <v>1</v>
      </c>
      <c r="C10" s="20" t="s">
        <v>443</v>
      </c>
      <c r="D10" s="17" t="s">
        <v>16</v>
      </c>
      <c r="E10" s="20" t="s">
        <v>444</v>
      </c>
      <c r="F10" s="20" t="s">
        <v>415</v>
      </c>
      <c r="G10" s="19" t="s">
        <v>38</v>
      </c>
      <c r="H10" s="20" t="s">
        <v>335</v>
      </c>
      <c r="I10" s="20" t="s">
        <v>336</v>
      </c>
      <c r="J10" s="20" t="s">
        <v>337</v>
      </c>
      <c r="K10" s="20" t="s">
        <v>445</v>
      </c>
      <c r="L10" s="47"/>
      <c r="M10" s="138" t="s">
        <v>19</v>
      </c>
      <c r="N10" s="45" t="s">
        <v>1096</v>
      </c>
    </row>
    <row r="11" spans="2:15" ht="75" hidden="1" x14ac:dyDescent="0.25">
      <c r="B11" s="18">
        <v>7</v>
      </c>
      <c r="C11" s="20" t="s">
        <v>443</v>
      </c>
      <c r="D11" s="20" t="s">
        <v>16</v>
      </c>
      <c r="E11" s="20" t="s">
        <v>446</v>
      </c>
      <c r="F11" s="20" t="s">
        <v>447</v>
      </c>
      <c r="G11" s="19" t="s">
        <v>40</v>
      </c>
      <c r="H11" s="20" t="s">
        <v>335</v>
      </c>
      <c r="I11" s="20" t="s">
        <v>336</v>
      </c>
      <c r="J11" s="20" t="s">
        <v>337</v>
      </c>
      <c r="K11" s="20" t="s">
        <v>448</v>
      </c>
      <c r="L11" s="20"/>
      <c r="M11" s="138" t="s">
        <v>19</v>
      </c>
      <c r="N11" s="19" t="s">
        <v>449</v>
      </c>
    </row>
    <row r="12" spans="2:15" ht="45" hidden="1" x14ac:dyDescent="0.25">
      <c r="B12" s="18">
        <v>8</v>
      </c>
      <c r="C12" s="49" t="s">
        <v>443</v>
      </c>
      <c r="D12" s="49" t="s">
        <v>16</v>
      </c>
      <c r="E12" s="49" t="s">
        <v>450</v>
      </c>
      <c r="F12" s="49" t="s">
        <v>451</v>
      </c>
      <c r="G12" s="48" t="s">
        <v>42</v>
      </c>
      <c r="H12" s="49" t="s">
        <v>335</v>
      </c>
      <c r="I12" s="49" t="s">
        <v>336</v>
      </c>
      <c r="J12" s="49" t="s">
        <v>337</v>
      </c>
      <c r="K12" s="49" t="s">
        <v>448</v>
      </c>
      <c r="L12" s="49"/>
      <c r="M12" s="138" t="s">
        <v>19</v>
      </c>
      <c r="N12" s="48" t="s">
        <v>452</v>
      </c>
    </row>
    <row r="13" spans="2:15" ht="60" x14ac:dyDescent="0.25">
      <c r="B13" s="18">
        <v>1</v>
      </c>
      <c r="C13" s="18" t="s">
        <v>453</v>
      </c>
      <c r="D13" s="20" t="s">
        <v>16</v>
      </c>
      <c r="E13" s="20" t="s">
        <v>454</v>
      </c>
      <c r="F13" s="20" t="s">
        <v>455</v>
      </c>
      <c r="G13" s="19" t="s">
        <v>43</v>
      </c>
      <c r="H13" s="20" t="s">
        <v>335</v>
      </c>
      <c r="I13" s="20" t="s">
        <v>336</v>
      </c>
      <c r="J13" s="20" t="s">
        <v>337</v>
      </c>
      <c r="K13" s="47" t="s">
        <v>424</v>
      </c>
      <c r="L13" s="47"/>
      <c r="M13" s="43" t="s">
        <v>19</v>
      </c>
      <c r="N13" s="45" t="s">
        <v>456</v>
      </c>
    </row>
    <row r="14" spans="2:15" ht="45" hidden="1" x14ac:dyDescent="0.25">
      <c r="B14" s="18">
        <v>10</v>
      </c>
      <c r="C14" s="18" t="s">
        <v>453</v>
      </c>
      <c r="D14" s="20" t="s">
        <v>16</v>
      </c>
      <c r="E14" s="20" t="s">
        <v>457</v>
      </c>
      <c r="F14" s="20" t="s">
        <v>451</v>
      </c>
      <c r="G14" s="50" t="s">
        <v>44</v>
      </c>
      <c r="H14" s="20" t="s">
        <v>335</v>
      </c>
      <c r="I14" s="20" t="s">
        <v>336</v>
      </c>
      <c r="J14" s="20" t="s">
        <v>337</v>
      </c>
      <c r="K14" s="47" t="s">
        <v>448</v>
      </c>
      <c r="L14" s="47"/>
      <c r="M14" s="138" t="s">
        <v>19</v>
      </c>
      <c r="N14" s="19" t="s">
        <v>452</v>
      </c>
    </row>
    <row r="15" spans="2:15" ht="45" hidden="1" x14ac:dyDescent="0.25">
      <c r="B15" s="18">
        <v>11</v>
      </c>
      <c r="C15" s="18" t="s">
        <v>458</v>
      </c>
      <c r="D15" s="20" t="s">
        <v>16</v>
      </c>
      <c r="E15" s="51" t="s">
        <v>459</v>
      </c>
      <c r="F15" s="20" t="s">
        <v>451</v>
      </c>
      <c r="G15" s="51" t="s">
        <v>45</v>
      </c>
      <c r="H15" s="20" t="s">
        <v>335</v>
      </c>
      <c r="I15" s="20" t="s">
        <v>336</v>
      </c>
      <c r="J15" s="20" t="s">
        <v>337</v>
      </c>
      <c r="K15" s="47" t="s">
        <v>460</v>
      </c>
      <c r="L15" s="47"/>
      <c r="M15" s="138" t="s">
        <v>19</v>
      </c>
      <c r="N15" s="45" t="s">
        <v>461</v>
      </c>
    </row>
    <row r="16" spans="2:15" ht="45" hidden="1" x14ac:dyDescent="0.25">
      <c r="B16" s="18">
        <v>12</v>
      </c>
      <c r="C16" s="18" t="s">
        <v>458</v>
      </c>
      <c r="D16" s="20" t="s">
        <v>16</v>
      </c>
      <c r="E16" s="51" t="s">
        <v>462</v>
      </c>
      <c r="F16" s="20" t="s">
        <v>451</v>
      </c>
      <c r="G16" s="51" t="s">
        <v>46</v>
      </c>
      <c r="H16" s="20" t="s">
        <v>335</v>
      </c>
      <c r="I16" s="20" t="s">
        <v>336</v>
      </c>
      <c r="J16" s="20" t="s">
        <v>337</v>
      </c>
      <c r="K16" s="20" t="s">
        <v>460</v>
      </c>
      <c r="L16" s="47"/>
      <c r="M16" s="138" t="s">
        <v>19</v>
      </c>
      <c r="N16" s="45" t="s">
        <v>461</v>
      </c>
    </row>
    <row r="17" spans="2:15" ht="60" x14ac:dyDescent="0.25">
      <c r="B17" s="18">
        <v>1</v>
      </c>
      <c r="C17" s="18" t="s">
        <v>458</v>
      </c>
      <c r="D17" s="20" t="s">
        <v>16</v>
      </c>
      <c r="E17" s="20" t="s">
        <v>463</v>
      </c>
      <c r="F17" s="20" t="s">
        <v>455</v>
      </c>
      <c r="G17" s="45" t="s">
        <v>47</v>
      </c>
      <c r="H17" s="20" t="s">
        <v>417</v>
      </c>
      <c r="I17" s="20" t="s">
        <v>336</v>
      </c>
      <c r="J17" s="20" t="s">
        <v>337</v>
      </c>
      <c r="K17" s="153" t="s">
        <v>48</v>
      </c>
      <c r="L17" s="47"/>
      <c r="M17" s="237" t="s">
        <v>22</v>
      </c>
      <c r="N17" s="45"/>
    </row>
    <row r="18" spans="2:15" ht="60" x14ac:dyDescent="0.25">
      <c r="B18" s="18">
        <v>1</v>
      </c>
      <c r="C18" s="18" t="s">
        <v>464</v>
      </c>
      <c r="D18" s="20" t="s">
        <v>465</v>
      </c>
      <c r="E18" s="20" t="s">
        <v>466</v>
      </c>
      <c r="F18" s="20" t="s">
        <v>467</v>
      </c>
      <c r="G18" s="18" t="s">
        <v>50</v>
      </c>
      <c r="H18" s="20" t="s">
        <v>335</v>
      </c>
      <c r="I18" s="20" t="s">
        <v>336</v>
      </c>
      <c r="J18" s="20" t="s">
        <v>337</v>
      </c>
      <c r="K18" s="54" t="s">
        <v>51</v>
      </c>
      <c r="L18" s="50"/>
      <c r="M18" s="237" t="s">
        <v>22</v>
      </c>
      <c r="N18" s="55"/>
      <c r="O18"/>
    </row>
    <row r="19" spans="2:15" ht="60" x14ac:dyDescent="0.25">
      <c r="B19" s="18">
        <v>1</v>
      </c>
      <c r="C19" s="18" t="s">
        <v>464</v>
      </c>
      <c r="D19" s="20" t="s">
        <v>465</v>
      </c>
      <c r="E19" s="20" t="s">
        <v>468</v>
      </c>
      <c r="F19" s="20" t="s">
        <v>467</v>
      </c>
      <c r="G19" s="51" t="s">
        <v>52</v>
      </c>
      <c r="H19" s="20" t="s">
        <v>335</v>
      </c>
      <c r="I19" s="20" t="s">
        <v>336</v>
      </c>
      <c r="J19" s="20" t="s">
        <v>337</v>
      </c>
      <c r="K19" s="54" t="s">
        <v>53</v>
      </c>
      <c r="L19" s="50"/>
      <c r="M19" s="237" t="s">
        <v>22</v>
      </c>
      <c r="N19" s="55"/>
      <c r="O19"/>
    </row>
    <row r="20" spans="2:15" ht="60" x14ac:dyDescent="0.25">
      <c r="B20" s="18">
        <v>1</v>
      </c>
      <c r="C20" s="18" t="s">
        <v>464</v>
      </c>
      <c r="D20" s="20" t="s">
        <v>465</v>
      </c>
      <c r="E20" s="20" t="s">
        <v>469</v>
      </c>
      <c r="F20" s="20" t="s">
        <v>467</v>
      </c>
      <c r="G20" s="51" t="s">
        <v>470</v>
      </c>
      <c r="H20" s="20" t="s">
        <v>335</v>
      </c>
      <c r="I20" s="20" t="s">
        <v>336</v>
      </c>
      <c r="J20" s="20" t="s">
        <v>337</v>
      </c>
      <c r="K20" s="54" t="s">
        <v>53</v>
      </c>
      <c r="L20" s="47"/>
      <c r="M20" s="237" t="s">
        <v>22</v>
      </c>
      <c r="N20" s="47"/>
    </row>
    <row r="21" spans="2:15" ht="60" x14ac:dyDescent="0.25">
      <c r="B21" s="18">
        <v>1</v>
      </c>
      <c r="C21" s="18" t="s">
        <v>464</v>
      </c>
      <c r="D21" s="20" t="s">
        <v>465</v>
      </c>
      <c r="E21" s="20" t="s">
        <v>471</v>
      </c>
      <c r="F21" s="20" t="s">
        <v>467</v>
      </c>
      <c r="G21" s="51" t="s">
        <v>55</v>
      </c>
      <c r="H21" s="20" t="s">
        <v>335</v>
      </c>
      <c r="I21" s="20" t="s">
        <v>336</v>
      </c>
      <c r="J21" s="20" t="s">
        <v>337</v>
      </c>
      <c r="K21" s="54" t="s">
        <v>53</v>
      </c>
      <c r="L21" s="47"/>
      <c r="M21" s="237" t="s">
        <v>22</v>
      </c>
      <c r="N21" s="47"/>
    </row>
    <row r="22" spans="2:15" ht="60" x14ac:dyDescent="0.25">
      <c r="B22" s="18">
        <v>1</v>
      </c>
      <c r="C22" s="18" t="s">
        <v>464</v>
      </c>
      <c r="D22" s="20" t="s">
        <v>465</v>
      </c>
      <c r="E22" s="20" t="s">
        <v>472</v>
      </c>
      <c r="F22" s="20" t="s">
        <v>467</v>
      </c>
      <c r="G22" s="51" t="s">
        <v>56</v>
      </c>
      <c r="H22" s="20" t="s">
        <v>335</v>
      </c>
      <c r="I22" s="20" t="s">
        <v>336</v>
      </c>
      <c r="J22" s="20" t="s">
        <v>337</v>
      </c>
      <c r="K22" s="54" t="s">
        <v>53</v>
      </c>
      <c r="L22" s="47"/>
      <c r="M22" s="237" t="s">
        <v>22</v>
      </c>
      <c r="N22" s="47"/>
    </row>
    <row r="23" spans="2:15" ht="60" x14ac:dyDescent="0.25">
      <c r="B23" s="18">
        <v>1</v>
      </c>
      <c r="C23" s="18" t="s">
        <v>464</v>
      </c>
      <c r="D23" s="20" t="s">
        <v>465</v>
      </c>
      <c r="E23" s="20" t="s">
        <v>473</v>
      </c>
      <c r="F23" s="20" t="s">
        <v>467</v>
      </c>
      <c r="G23" s="34" t="s">
        <v>57</v>
      </c>
      <c r="H23" s="20" t="s">
        <v>335</v>
      </c>
      <c r="I23" s="20" t="s">
        <v>336</v>
      </c>
      <c r="J23" s="20" t="s">
        <v>337</v>
      </c>
      <c r="K23" s="31" t="s">
        <v>424</v>
      </c>
      <c r="L23" s="47"/>
      <c r="M23" s="237" t="s">
        <v>22</v>
      </c>
      <c r="N23" s="47"/>
    </row>
    <row r="24" spans="2:15" ht="60" x14ac:dyDescent="0.25">
      <c r="B24" s="18">
        <v>1</v>
      </c>
      <c r="C24" s="18" t="s">
        <v>464</v>
      </c>
      <c r="D24" s="20" t="s">
        <v>465</v>
      </c>
      <c r="E24" s="20" t="s">
        <v>474</v>
      </c>
      <c r="F24" s="20" t="s">
        <v>467</v>
      </c>
      <c r="G24" s="34" t="s">
        <v>58</v>
      </c>
      <c r="H24" s="20" t="s">
        <v>335</v>
      </c>
      <c r="I24" s="20" t="s">
        <v>336</v>
      </c>
      <c r="J24" s="20" t="s">
        <v>337</v>
      </c>
      <c r="K24" s="31" t="s">
        <v>59</v>
      </c>
      <c r="L24" s="47"/>
      <c r="M24" s="237" t="s">
        <v>22</v>
      </c>
      <c r="N24" s="47"/>
      <c r="O24"/>
    </row>
    <row r="25" spans="2:15" ht="45" x14ac:dyDescent="0.25">
      <c r="B25" s="18">
        <v>1</v>
      </c>
      <c r="C25" s="18" t="s">
        <v>464</v>
      </c>
      <c r="D25" s="20" t="s">
        <v>465</v>
      </c>
      <c r="E25" s="20" t="s">
        <v>475</v>
      </c>
      <c r="F25" s="20" t="s">
        <v>476</v>
      </c>
      <c r="G25" s="34" t="s">
        <v>60</v>
      </c>
      <c r="H25" s="20" t="s">
        <v>335</v>
      </c>
      <c r="I25" s="20" t="s">
        <v>336</v>
      </c>
      <c r="J25" s="20" t="s">
        <v>337</v>
      </c>
      <c r="K25" s="31" t="s">
        <v>59</v>
      </c>
      <c r="L25" s="47"/>
      <c r="M25" s="237" t="s">
        <v>22</v>
      </c>
      <c r="N25" s="47"/>
      <c r="O25"/>
    </row>
    <row r="26" spans="2:15" ht="45" x14ac:dyDescent="0.25">
      <c r="B26" s="18">
        <v>1</v>
      </c>
      <c r="C26" s="18" t="s">
        <v>464</v>
      </c>
      <c r="D26" s="20" t="s">
        <v>465</v>
      </c>
      <c r="E26" s="20" t="s">
        <v>477</v>
      </c>
      <c r="F26" s="20" t="s">
        <v>476</v>
      </c>
      <c r="G26" s="34" t="s">
        <v>61</v>
      </c>
      <c r="H26" s="20" t="s">
        <v>335</v>
      </c>
      <c r="I26" s="20" t="s">
        <v>336</v>
      </c>
      <c r="J26" s="20" t="s">
        <v>337</v>
      </c>
      <c r="K26" s="31" t="s">
        <v>62</v>
      </c>
      <c r="L26" s="47"/>
      <c r="M26" s="239" t="s">
        <v>22</v>
      </c>
      <c r="N26" s="47"/>
      <c r="O26"/>
    </row>
    <row r="27" spans="2:15" ht="60" x14ac:dyDescent="0.25">
      <c r="B27" s="18">
        <v>1</v>
      </c>
      <c r="C27" s="18" t="s">
        <v>464</v>
      </c>
      <c r="D27" s="20" t="s">
        <v>465</v>
      </c>
      <c r="E27" s="20" t="s">
        <v>478</v>
      </c>
      <c r="F27" s="20" t="s">
        <v>467</v>
      </c>
      <c r="G27" s="34" t="s">
        <v>63</v>
      </c>
      <c r="H27" s="20" t="s">
        <v>335</v>
      </c>
      <c r="I27" s="20" t="s">
        <v>336</v>
      </c>
      <c r="J27" s="20" t="s">
        <v>337</v>
      </c>
      <c r="K27" s="31" t="s">
        <v>59</v>
      </c>
      <c r="L27" s="47"/>
      <c r="M27" s="138" t="s">
        <v>19</v>
      </c>
      <c r="N27" s="47"/>
      <c r="O27"/>
    </row>
    <row r="28" spans="2:15" ht="45" x14ac:dyDescent="0.25">
      <c r="B28" s="18">
        <v>1</v>
      </c>
      <c r="C28" s="18" t="s">
        <v>464</v>
      </c>
      <c r="D28" s="20" t="s">
        <v>465</v>
      </c>
      <c r="E28" s="20" t="s">
        <v>479</v>
      </c>
      <c r="F28" s="20" t="s">
        <v>476</v>
      </c>
      <c r="G28" s="34" t="s">
        <v>64</v>
      </c>
      <c r="H28" s="20" t="s">
        <v>335</v>
      </c>
      <c r="I28" s="20" t="s">
        <v>336</v>
      </c>
      <c r="J28" s="20" t="s">
        <v>337</v>
      </c>
      <c r="K28" s="31" t="s">
        <v>59</v>
      </c>
      <c r="L28" s="47"/>
      <c r="M28" s="138" t="s">
        <v>19</v>
      </c>
      <c r="N28" s="47"/>
      <c r="O28"/>
    </row>
    <row r="29" spans="2:15" ht="60" x14ac:dyDescent="0.25">
      <c r="B29" s="18">
        <v>1</v>
      </c>
      <c r="C29" s="18" t="s">
        <v>464</v>
      </c>
      <c r="D29" s="20" t="s">
        <v>465</v>
      </c>
      <c r="E29" s="20" t="s">
        <v>480</v>
      </c>
      <c r="F29" s="20" t="s">
        <v>467</v>
      </c>
      <c r="G29" s="34" t="s">
        <v>65</v>
      </c>
      <c r="H29" s="20" t="s">
        <v>335</v>
      </c>
      <c r="I29" s="20" t="s">
        <v>336</v>
      </c>
      <c r="J29" s="20" t="s">
        <v>337</v>
      </c>
      <c r="K29" s="31" t="s">
        <v>66</v>
      </c>
      <c r="L29" s="47"/>
      <c r="M29" s="138" t="s">
        <v>19</v>
      </c>
      <c r="N29" s="47"/>
      <c r="O29"/>
    </row>
    <row r="30" spans="2:15" ht="60" x14ac:dyDescent="0.25">
      <c r="B30" s="18">
        <v>1</v>
      </c>
      <c r="C30" s="18" t="s">
        <v>464</v>
      </c>
      <c r="D30" s="20" t="s">
        <v>465</v>
      </c>
      <c r="E30" s="20" t="s">
        <v>481</v>
      </c>
      <c r="F30" s="20" t="s">
        <v>467</v>
      </c>
      <c r="G30" s="34" t="s">
        <v>67</v>
      </c>
      <c r="H30" s="20" t="s">
        <v>335</v>
      </c>
      <c r="I30" s="20" t="s">
        <v>336</v>
      </c>
      <c r="J30" s="20" t="s">
        <v>337</v>
      </c>
      <c r="K30" s="31" t="s">
        <v>51</v>
      </c>
      <c r="L30" s="47"/>
      <c r="M30" s="239" t="s">
        <v>22</v>
      </c>
      <c r="N30" s="47"/>
    </row>
    <row r="31" spans="2:15" ht="60" x14ac:dyDescent="0.25">
      <c r="B31" s="18">
        <v>1</v>
      </c>
      <c r="C31" s="18" t="s">
        <v>464</v>
      </c>
      <c r="D31" s="20" t="s">
        <v>465</v>
      </c>
      <c r="E31" s="20" t="s">
        <v>482</v>
      </c>
      <c r="F31" s="20" t="s">
        <v>467</v>
      </c>
      <c r="G31" s="34" t="s">
        <v>68</v>
      </c>
      <c r="H31" s="20" t="s">
        <v>335</v>
      </c>
      <c r="I31" s="20" t="s">
        <v>336</v>
      </c>
      <c r="J31" s="20" t="s">
        <v>337</v>
      </c>
      <c r="K31" s="31" t="s">
        <v>51</v>
      </c>
      <c r="L31" s="47"/>
      <c r="M31" s="239" t="s">
        <v>22</v>
      </c>
      <c r="N31" s="47"/>
    </row>
    <row r="32" spans="2:15" ht="63" x14ac:dyDescent="0.25">
      <c r="B32" s="18">
        <v>1</v>
      </c>
      <c r="C32" s="18" t="s">
        <v>464</v>
      </c>
      <c r="D32" s="20" t="s">
        <v>465</v>
      </c>
      <c r="E32" s="20" t="s">
        <v>483</v>
      </c>
      <c r="F32" s="20" t="s">
        <v>467</v>
      </c>
      <c r="G32" s="34" t="s">
        <v>69</v>
      </c>
      <c r="H32" s="20" t="s">
        <v>335</v>
      </c>
      <c r="I32" s="20" t="s">
        <v>336</v>
      </c>
      <c r="J32" s="20" t="s">
        <v>337</v>
      </c>
      <c r="K32" s="31" t="s">
        <v>70</v>
      </c>
      <c r="L32" s="47"/>
      <c r="M32" s="138" t="s">
        <v>19</v>
      </c>
      <c r="N32" s="47"/>
    </row>
    <row r="33" spans="2:15" ht="63" x14ac:dyDescent="0.25">
      <c r="B33" s="18">
        <v>1</v>
      </c>
      <c r="C33" s="18" t="s">
        <v>464</v>
      </c>
      <c r="D33" s="20" t="s">
        <v>465</v>
      </c>
      <c r="E33" s="20" t="s">
        <v>484</v>
      </c>
      <c r="F33" s="20" t="s">
        <v>467</v>
      </c>
      <c r="G33" s="34" t="s">
        <v>71</v>
      </c>
      <c r="H33" s="20" t="s">
        <v>335</v>
      </c>
      <c r="I33" s="20" t="s">
        <v>336</v>
      </c>
      <c r="J33" s="20" t="s">
        <v>337</v>
      </c>
      <c r="K33" s="31" t="s">
        <v>485</v>
      </c>
      <c r="L33" s="47"/>
      <c r="M33" s="138" t="s">
        <v>19</v>
      </c>
      <c r="N33" s="47"/>
    </row>
    <row r="34" spans="2:15" ht="45" x14ac:dyDescent="0.25">
      <c r="B34" s="18">
        <v>1</v>
      </c>
      <c r="C34" s="18" t="s">
        <v>464</v>
      </c>
      <c r="D34" s="20" t="s">
        <v>465</v>
      </c>
      <c r="E34" s="20" t="s">
        <v>486</v>
      </c>
      <c r="F34" s="20" t="s">
        <v>476</v>
      </c>
      <c r="G34" s="34" t="s">
        <v>73</v>
      </c>
      <c r="H34" s="20" t="s">
        <v>335</v>
      </c>
      <c r="I34" s="20" t="s">
        <v>336</v>
      </c>
      <c r="J34" s="20" t="s">
        <v>337</v>
      </c>
      <c r="K34" s="31" t="s">
        <v>53</v>
      </c>
      <c r="L34" s="47"/>
      <c r="M34" s="138" t="s">
        <v>19</v>
      </c>
      <c r="N34" s="47"/>
    </row>
    <row r="35" spans="2:15" ht="47.25" x14ac:dyDescent="0.25">
      <c r="B35" s="18">
        <v>1</v>
      </c>
      <c r="C35" s="18" t="s">
        <v>464</v>
      </c>
      <c r="D35" s="20" t="s">
        <v>465</v>
      </c>
      <c r="E35" s="20" t="s">
        <v>487</v>
      </c>
      <c r="F35" s="20" t="s">
        <v>476</v>
      </c>
      <c r="G35" s="34" t="s">
        <v>74</v>
      </c>
      <c r="H35" s="20" t="s">
        <v>335</v>
      </c>
      <c r="I35" s="20" t="s">
        <v>336</v>
      </c>
      <c r="J35" s="20" t="s">
        <v>337</v>
      </c>
      <c r="K35" s="31" t="s">
        <v>75</v>
      </c>
      <c r="L35" s="47"/>
      <c r="M35" s="53" t="s">
        <v>25</v>
      </c>
      <c r="N35" s="47"/>
    </row>
    <row r="36" spans="2:15" s="56" customFormat="1" ht="60" x14ac:dyDescent="0.25">
      <c r="B36" s="18">
        <v>1</v>
      </c>
      <c r="C36" s="20" t="s">
        <v>488</v>
      </c>
      <c r="D36" s="20" t="s">
        <v>16</v>
      </c>
      <c r="E36" s="51" t="s">
        <v>489</v>
      </c>
      <c r="F36" s="20" t="s">
        <v>490</v>
      </c>
      <c r="G36" s="19" t="s">
        <v>491</v>
      </c>
      <c r="H36" s="20" t="s">
        <v>335</v>
      </c>
      <c r="I36" s="20" t="s">
        <v>336</v>
      </c>
      <c r="J36" s="20" t="s">
        <v>337</v>
      </c>
      <c r="K36" s="20" t="s">
        <v>492</v>
      </c>
      <c r="L36" s="20"/>
      <c r="M36" s="140" t="s">
        <v>25</v>
      </c>
      <c r="N36" s="20"/>
      <c r="O36" s="11"/>
    </row>
    <row r="37" spans="2:15" ht="30" x14ac:dyDescent="0.25">
      <c r="B37" s="18">
        <v>1</v>
      </c>
      <c r="C37" s="62">
        <v>45373</v>
      </c>
      <c r="D37" s="17" t="s">
        <v>86</v>
      </c>
      <c r="E37" s="51" t="s">
        <v>493</v>
      </c>
      <c r="F37" s="20" t="s">
        <v>476</v>
      </c>
      <c r="G37" s="51" t="s">
        <v>494</v>
      </c>
      <c r="H37" s="20" t="s">
        <v>335</v>
      </c>
      <c r="I37" s="17" t="s">
        <v>348</v>
      </c>
      <c r="J37" s="17" t="s">
        <v>349</v>
      </c>
      <c r="K37" s="47" t="s">
        <v>495</v>
      </c>
      <c r="L37" s="47"/>
      <c r="M37" s="141" t="s">
        <v>25</v>
      </c>
      <c r="N37" s="47"/>
    </row>
    <row r="38" spans="2:15" ht="47.25" x14ac:dyDescent="0.25">
      <c r="B38" s="18">
        <v>1</v>
      </c>
      <c r="C38" s="18" t="s">
        <v>496</v>
      </c>
      <c r="D38" s="20" t="s">
        <v>97</v>
      </c>
      <c r="E38" s="51" t="s">
        <v>497</v>
      </c>
      <c r="F38" s="20" t="s">
        <v>476</v>
      </c>
      <c r="G38" s="111" t="s">
        <v>98</v>
      </c>
      <c r="H38" s="20" t="s">
        <v>335</v>
      </c>
      <c r="I38" s="17" t="s">
        <v>348</v>
      </c>
      <c r="J38" s="17" t="s">
        <v>349</v>
      </c>
      <c r="K38" s="49" t="s">
        <v>99</v>
      </c>
      <c r="L38" s="47"/>
      <c r="M38" s="99" t="s">
        <v>19</v>
      </c>
      <c r="N38" s="47" t="s">
        <v>498</v>
      </c>
    </row>
    <row r="39" spans="2:15" ht="60" x14ac:dyDescent="0.25">
      <c r="B39" s="18">
        <v>1</v>
      </c>
      <c r="C39" s="18" t="s">
        <v>496</v>
      </c>
      <c r="D39" s="108" t="s">
        <v>97</v>
      </c>
      <c r="E39" s="51" t="s">
        <v>499</v>
      </c>
      <c r="F39" s="20" t="s">
        <v>490</v>
      </c>
      <c r="G39" s="122" t="s">
        <v>101</v>
      </c>
      <c r="H39" s="20" t="s">
        <v>335</v>
      </c>
      <c r="I39" s="17" t="s">
        <v>348</v>
      </c>
      <c r="J39" s="17" t="s">
        <v>349</v>
      </c>
      <c r="K39" s="49" t="s">
        <v>99</v>
      </c>
      <c r="L39" s="47"/>
      <c r="M39" s="99" t="s">
        <v>19</v>
      </c>
      <c r="N39" s="47"/>
    </row>
    <row r="40" spans="2:15" ht="60" x14ac:dyDescent="0.25">
      <c r="B40" s="18">
        <v>1</v>
      </c>
      <c r="C40" s="18" t="s">
        <v>496</v>
      </c>
      <c r="D40" s="108" t="s">
        <v>97</v>
      </c>
      <c r="E40" s="51" t="s">
        <v>500</v>
      </c>
      <c r="F40" s="20" t="s">
        <v>490</v>
      </c>
      <c r="G40" s="106" t="s">
        <v>102</v>
      </c>
      <c r="H40" s="20" t="s">
        <v>335</v>
      </c>
      <c r="I40" s="17" t="s">
        <v>348</v>
      </c>
      <c r="J40" s="17" t="s">
        <v>349</v>
      </c>
      <c r="K40" s="49" t="s">
        <v>99</v>
      </c>
      <c r="L40" s="47"/>
      <c r="M40" s="99" t="s">
        <v>19</v>
      </c>
      <c r="N40" s="47"/>
    </row>
    <row r="41" spans="2:15" ht="60.75" thickBot="1" x14ac:dyDescent="0.3">
      <c r="B41" s="18">
        <v>1</v>
      </c>
      <c r="C41" s="18" t="s">
        <v>496</v>
      </c>
      <c r="D41" s="108" t="s">
        <v>97</v>
      </c>
      <c r="E41" s="51" t="s">
        <v>501</v>
      </c>
      <c r="F41" s="20" t="s">
        <v>490</v>
      </c>
      <c r="G41" s="106" t="s">
        <v>103</v>
      </c>
      <c r="H41" s="20" t="s">
        <v>335</v>
      </c>
      <c r="I41" s="17" t="s">
        <v>348</v>
      </c>
      <c r="J41" s="17" t="s">
        <v>349</v>
      </c>
      <c r="K41" s="49" t="s">
        <v>99</v>
      </c>
      <c r="L41" s="47"/>
      <c r="M41" s="99" t="s">
        <v>19</v>
      </c>
      <c r="N41" s="47"/>
    </row>
    <row r="42" spans="2:15" ht="60.75" thickBot="1" x14ac:dyDescent="0.3">
      <c r="B42" s="18">
        <v>1</v>
      </c>
      <c r="C42" s="18" t="s">
        <v>496</v>
      </c>
      <c r="D42" s="108" t="s">
        <v>97</v>
      </c>
      <c r="E42" s="51" t="s">
        <v>502</v>
      </c>
      <c r="F42" s="20" t="s">
        <v>490</v>
      </c>
      <c r="G42" s="112" t="s">
        <v>105</v>
      </c>
      <c r="H42" s="20" t="s">
        <v>335</v>
      </c>
      <c r="I42" s="17" t="s">
        <v>348</v>
      </c>
      <c r="J42" s="17" t="s">
        <v>349</v>
      </c>
      <c r="K42" s="123" t="s">
        <v>106</v>
      </c>
      <c r="L42" s="47"/>
      <c r="M42" s="99" t="s">
        <v>19</v>
      </c>
      <c r="N42" s="47"/>
    </row>
    <row r="43" spans="2:15" ht="60.75" thickBot="1" x14ac:dyDescent="0.3">
      <c r="B43" s="18">
        <v>1</v>
      </c>
      <c r="C43" s="18" t="s">
        <v>496</v>
      </c>
      <c r="D43" s="108" t="s">
        <v>104</v>
      </c>
      <c r="E43" s="51" t="s">
        <v>503</v>
      </c>
      <c r="F43" s="20" t="s">
        <v>490</v>
      </c>
      <c r="G43" s="121" t="s">
        <v>98</v>
      </c>
      <c r="H43" s="20" t="s">
        <v>335</v>
      </c>
      <c r="I43" s="17" t="s">
        <v>348</v>
      </c>
      <c r="J43" s="17" t="s">
        <v>349</v>
      </c>
      <c r="K43" s="49" t="s">
        <v>99</v>
      </c>
      <c r="L43" s="47"/>
      <c r="M43" s="99" t="s">
        <v>19</v>
      </c>
      <c r="N43" s="47"/>
    </row>
    <row r="44" spans="2:15" ht="60.75" thickBot="1" x14ac:dyDescent="0.3">
      <c r="B44" s="18">
        <v>1</v>
      </c>
      <c r="C44" s="18" t="s">
        <v>496</v>
      </c>
      <c r="D44" s="108" t="s">
        <v>104</v>
      </c>
      <c r="E44" s="51" t="s">
        <v>504</v>
      </c>
      <c r="F44" s="20" t="s">
        <v>490</v>
      </c>
      <c r="G44" s="121" t="s">
        <v>101</v>
      </c>
      <c r="H44" s="20" t="s">
        <v>335</v>
      </c>
      <c r="I44" s="17" t="s">
        <v>348</v>
      </c>
      <c r="J44" s="17" t="s">
        <v>349</v>
      </c>
      <c r="K44" s="49" t="s">
        <v>99</v>
      </c>
      <c r="L44" s="47"/>
      <c r="M44" s="99" t="s">
        <v>19</v>
      </c>
      <c r="N44" s="47"/>
    </row>
    <row r="45" spans="2:15" ht="60.75" thickBot="1" x14ac:dyDescent="0.3">
      <c r="B45" s="18">
        <v>1</v>
      </c>
      <c r="C45" s="18" t="s">
        <v>496</v>
      </c>
      <c r="D45" s="108" t="s">
        <v>104</v>
      </c>
      <c r="E45" s="51" t="s">
        <v>505</v>
      </c>
      <c r="F45" s="20" t="s">
        <v>490</v>
      </c>
      <c r="G45" s="113" t="s">
        <v>102</v>
      </c>
      <c r="H45" s="20" t="s">
        <v>335</v>
      </c>
      <c r="I45" s="17" t="s">
        <v>348</v>
      </c>
      <c r="J45" s="17" t="s">
        <v>349</v>
      </c>
      <c r="K45" s="49" t="s">
        <v>99</v>
      </c>
      <c r="L45" s="47"/>
      <c r="M45" s="99" t="s">
        <v>19</v>
      </c>
      <c r="N45" s="47"/>
    </row>
    <row r="46" spans="2:15" ht="60.75" thickBot="1" x14ac:dyDescent="0.3">
      <c r="B46" s="18">
        <v>1</v>
      </c>
      <c r="C46" s="18" t="s">
        <v>496</v>
      </c>
      <c r="D46" s="108" t="s">
        <v>104</v>
      </c>
      <c r="E46" s="51" t="s">
        <v>506</v>
      </c>
      <c r="F46" s="20" t="s">
        <v>490</v>
      </c>
      <c r="G46" s="113" t="s">
        <v>103</v>
      </c>
      <c r="H46" s="20" t="s">
        <v>335</v>
      </c>
      <c r="I46" s="17" t="s">
        <v>348</v>
      </c>
      <c r="J46" s="17" t="s">
        <v>349</v>
      </c>
      <c r="K46" s="49" t="s">
        <v>99</v>
      </c>
      <c r="L46" s="47"/>
      <c r="M46" s="99" t="s">
        <v>19</v>
      </c>
      <c r="N46" s="47"/>
    </row>
    <row r="47" spans="2:15" ht="60.75" thickBot="1" x14ac:dyDescent="0.3">
      <c r="B47" s="18">
        <v>1</v>
      </c>
      <c r="C47" s="18" t="s">
        <v>496</v>
      </c>
      <c r="D47" s="108" t="s">
        <v>104</v>
      </c>
      <c r="E47" s="51" t="s">
        <v>507</v>
      </c>
      <c r="F47" s="20" t="s">
        <v>490</v>
      </c>
      <c r="G47" s="113" t="s">
        <v>107</v>
      </c>
      <c r="H47" s="20" t="s">
        <v>335</v>
      </c>
      <c r="I47" s="17" t="s">
        <v>348</v>
      </c>
      <c r="J47" s="17" t="s">
        <v>349</v>
      </c>
      <c r="K47" s="49" t="s">
        <v>99</v>
      </c>
      <c r="L47" s="47"/>
      <c r="M47" s="99" t="s">
        <v>19</v>
      </c>
      <c r="N47" s="47"/>
    </row>
    <row r="48" spans="2:15" ht="60.75" thickBot="1" x14ac:dyDescent="0.3">
      <c r="B48" s="18">
        <v>1</v>
      </c>
      <c r="C48" s="18" t="s">
        <v>496</v>
      </c>
      <c r="D48" s="108" t="s">
        <v>104</v>
      </c>
      <c r="E48" s="51" t="s">
        <v>508</v>
      </c>
      <c r="F48" s="20" t="s">
        <v>490</v>
      </c>
      <c r="G48" s="113" t="s">
        <v>108</v>
      </c>
      <c r="H48" s="20" t="s">
        <v>335</v>
      </c>
      <c r="I48" s="17" t="s">
        <v>348</v>
      </c>
      <c r="J48" s="17" t="s">
        <v>349</v>
      </c>
      <c r="K48" s="49" t="s">
        <v>99</v>
      </c>
      <c r="L48" s="47"/>
      <c r="M48" s="133" t="s">
        <v>109</v>
      </c>
      <c r="N48" s="47"/>
    </row>
    <row r="49" spans="2:14" ht="60.75" thickBot="1" x14ac:dyDescent="0.3">
      <c r="B49" s="18">
        <v>1</v>
      </c>
      <c r="C49" s="18" t="s">
        <v>496</v>
      </c>
      <c r="D49" s="108" t="s">
        <v>104</v>
      </c>
      <c r="E49" s="51" t="s">
        <v>509</v>
      </c>
      <c r="F49" s="20" t="s">
        <v>490</v>
      </c>
      <c r="G49" s="121" t="s">
        <v>110</v>
      </c>
      <c r="H49" s="20" t="s">
        <v>335</v>
      </c>
      <c r="I49" s="17" t="s">
        <v>348</v>
      </c>
      <c r="J49" s="17" t="s">
        <v>349</v>
      </c>
      <c r="K49" s="49" t="s">
        <v>99</v>
      </c>
      <c r="L49" s="47"/>
      <c r="M49" s="99" t="s">
        <v>19</v>
      </c>
      <c r="N49" s="47"/>
    </row>
    <row r="50" spans="2:14" ht="60.75" thickBot="1" x14ac:dyDescent="0.3">
      <c r="B50" s="18">
        <v>1</v>
      </c>
      <c r="C50" s="18" t="s">
        <v>496</v>
      </c>
      <c r="D50" s="108" t="s">
        <v>104</v>
      </c>
      <c r="E50" s="51" t="s">
        <v>510</v>
      </c>
      <c r="F50" s="20" t="s">
        <v>490</v>
      </c>
      <c r="G50" s="121" t="s">
        <v>111</v>
      </c>
      <c r="H50" s="20" t="s">
        <v>335</v>
      </c>
      <c r="I50" s="17" t="s">
        <v>348</v>
      </c>
      <c r="J50" s="17" t="s">
        <v>349</v>
      </c>
      <c r="K50" s="49" t="s">
        <v>99</v>
      </c>
      <c r="L50" s="47"/>
      <c r="M50" s="99" t="s">
        <v>19</v>
      </c>
      <c r="N50" s="47"/>
    </row>
    <row r="51" spans="2:14" ht="60.75" thickBot="1" x14ac:dyDescent="0.3">
      <c r="B51" s="18">
        <v>1</v>
      </c>
      <c r="C51" s="18" t="s">
        <v>496</v>
      </c>
      <c r="D51" s="108" t="s">
        <v>104</v>
      </c>
      <c r="E51" s="51" t="s">
        <v>511</v>
      </c>
      <c r="F51" s="20" t="s">
        <v>490</v>
      </c>
      <c r="G51" s="113" t="s">
        <v>112</v>
      </c>
      <c r="H51" s="20" t="s">
        <v>335</v>
      </c>
      <c r="I51" s="17" t="s">
        <v>348</v>
      </c>
      <c r="J51" s="17" t="s">
        <v>349</v>
      </c>
      <c r="K51" s="49" t="s">
        <v>99</v>
      </c>
      <c r="L51" s="47"/>
      <c r="M51" s="99" t="s">
        <v>19</v>
      </c>
      <c r="N51" s="47"/>
    </row>
    <row r="52" spans="2:14" ht="60.75" thickBot="1" x14ac:dyDescent="0.3">
      <c r="B52" s="18">
        <v>1</v>
      </c>
      <c r="C52" s="18" t="s">
        <v>496</v>
      </c>
      <c r="D52" s="108" t="s">
        <v>104</v>
      </c>
      <c r="E52" s="51" t="s">
        <v>512</v>
      </c>
      <c r="F52" s="20" t="s">
        <v>490</v>
      </c>
      <c r="G52" s="115" t="s">
        <v>113</v>
      </c>
      <c r="H52" s="20" t="s">
        <v>335</v>
      </c>
      <c r="I52" s="17" t="s">
        <v>348</v>
      </c>
      <c r="J52" s="17" t="s">
        <v>349</v>
      </c>
      <c r="K52" s="49" t="s">
        <v>99</v>
      </c>
      <c r="L52" s="47"/>
      <c r="M52" s="238" t="s">
        <v>22</v>
      </c>
      <c r="N52" s="47"/>
    </row>
    <row r="53" spans="2:14" ht="60.75" thickBot="1" x14ac:dyDescent="0.3">
      <c r="B53" s="18">
        <v>1</v>
      </c>
      <c r="C53" s="18" t="s">
        <v>496</v>
      </c>
      <c r="D53" s="108" t="s">
        <v>104</v>
      </c>
      <c r="E53" s="51" t="s">
        <v>513</v>
      </c>
      <c r="F53" s="20" t="s">
        <v>490</v>
      </c>
      <c r="G53" s="115" t="s">
        <v>115</v>
      </c>
      <c r="H53" s="20" t="s">
        <v>335</v>
      </c>
      <c r="I53" s="17" t="s">
        <v>348</v>
      </c>
      <c r="J53" s="17" t="s">
        <v>349</v>
      </c>
      <c r="K53" s="49" t="s">
        <v>99</v>
      </c>
      <c r="L53" s="47"/>
      <c r="M53" s="99" t="s">
        <v>19</v>
      </c>
      <c r="N53" s="47"/>
    </row>
    <row r="54" spans="2:14" ht="60.75" thickBot="1" x14ac:dyDescent="0.3">
      <c r="B54" s="18">
        <v>1</v>
      </c>
      <c r="C54" s="18" t="s">
        <v>496</v>
      </c>
      <c r="D54" s="108" t="s">
        <v>104</v>
      </c>
      <c r="E54" s="51" t="s">
        <v>514</v>
      </c>
      <c r="F54" s="20" t="s">
        <v>415</v>
      </c>
      <c r="G54" s="116" t="s">
        <v>116</v>
      </c>
      <c r="H54" s="20" t="s">
        <v>335</v>
      </c>
      <c r="I54" s="17" t="s">
        <v>348</v>
      </c>
      <c r="J54" s="17" t="s">
        <v>349</v>
      </c>
      <c r="K54" s="49" t="s">
        <v>99</v>
      </c>
      <c r="L54" s="47"/>
      <c r="M54" s="99" t="s">
        <v>19</v>
      </c>
      <c r="N54" s="47"/>
    </row>
    <row r="55" spans="2:14" ht="60.75" thickBot="1" x14ac:dyDescent="0.3">
      <c r="B55" s="18">
        <v>1</v>
      </c>
      <c r="C55" s="18" t="s">
        <v>496</v>
      </c>
      <c r="D55" s="108" t="s">
        <v>104</v>
      </c>
      <c r="E55" s="51" t="s">
        <v>515</v>
      </c>
      <c r="F55" s="20" t="s">
        <v>415</v>
      </c>
      <c r="G55" s="116" t="s">
        <v>117</v>
      </c>
      <c r="H55" s="20" t="s">
        <v>335</v>
      </c>
      <c r="I55" s="17" t="s">
        <v>348</v>
      </c>
      <c r="J55" s="17" t="s">
        <v>349</v>
      </c>
      <c r="K55" s="49" t="s">
        <v>99</v>
      </c>
      <c r="L55" s="47"/>
      <c r="M55" s="99" t="s">
        <v>19</v>
      </c>
      <c r="N55" s="47"/>
    </row>
    <row r="56" spans="2:14" ht="60.75" thickBot="1" x14ac:dyDescent="0.3">
      <c r="B56" s="18">
        <v>1</v>
      </c>
      <c r="C56" s="18" t="s">
        <v>496</v>
      </c>
      <c r="D56" s="108" t="s">
        <v>104</v>
      </c>
      <c r="E56" s="51" t="s">
        <v>516</v>
      </c>
      <c r="F56" s="20" t="s">
        <v>490</v>
      </c>
      <c r="G56" s="115" t="s">
        <v>118</v>
      </c>
      <c r="H56" s="20" t="s">
        <v>335</v>
      </c>
      <c r="I56" s="17" t="s">
        <v>348</v>
      </c>
      <c r="J56" s="17" t="s">
        <v>349</v>
      </c>
      <c r="K56" s="49" t="s">
        <v>99</v>
      </c>
      <c r="L56" s="47"/>
      <c r="M56" s="238" t="s">
        <v>22</v>
      </c>
      <c r="N56" s="47"/>
    </row>
    <row r="57" spans="2:14" ht="60.75" thickBot="1" x14ac:dyDescent="0.3">
      <c r="B57" s="18">
        <v>1</v>
      </c>
      <c r="C57" s="18" t="s">
        <v>496</v>
      </c>
      <c r="D57" s="108" t="s">
        <v>104</v>
      </c>
      <c r="E57" s="51" t="s">
        <v>517</v>
      </c>
      <c r="F57" s="20" t="s">
        <v>490</v>
      </c>
      <c r="G57" s="117" t="s">
        <v>119</v>
      </c>
      <c r="H57" s="20" t="s">
        <v>335</v>
      </c>
      <c r="I57" s="17" t="s">
        <v>348</v>
      </c>
      <c r="J57" s="17" t="s">
        <v>349</v>
      </c>
      <c r="K57" s="49" t="s">
        <v>99</v>
      </c>
      <c r="L57" s="47"/>
      <c r="M57" s="99" t="s">
        <v>19</v>
      </c>
      <c r="N57" s="47"/>
    </row>
    <row r="58" spans="2:14" ht="60.75" thickBot="1" x14ac:dyDescent="0.3">
      <c r="B58" s="18">
        <v>1</v>
      </c>
      <c r="C58" s="18" t="s">
        <v>496</v>
      </c>
      <c r="D58" s="108" t="s">
        <v>104</v>
      </c>
      <c r="E58" s="51" t="s">
        <v>518</v>
      </c>
      <c r="F58" s="20" t="s">
        <v>490</v>
      </c>
      <c r="G58" s="117" t="s">
        <v>120</v>
      </c>
      <c r="H58" s="20" t="s">
        <v>335</v>
      </c>
      <c r="I58" s="17" t="s">
        <v>348</v>
      </c>
      <c r="J58" s="17" t="s">
        <v>349</v>
      </c>
      <c r="K58" s="49" t="s">
        <v>99</v>
      </c>
      <c r="L58" s="47"/>
      <c r="M58" s="238" t="s">
        <v>22</v>
      </c>
      <c r="N58" s="47"/>
    </row>
    <row r="59" spans="2:14" ht="60.75" thickBot="1" x14ac:dyDescent="0.3">
      <c r="B59" s="18">
        <v>1</v>
      </c>
      <c r="C59" s="18" t="s">
        <v>496</v>
      </c>
      <c r="D59" s="108" t="s">
        <v>104</v>
      </c>
      <c r="E59" s="51" t="s">
        <v>519</v>
      </c>
      <c r="F59" s="20" t="s">
        <v>490</v>
      </c>
      <c r="G59" s="117" t="s">
        <v>121</v>
      </c>
      <c r="H59" s="20" t="s">
        <v>335</v>
      </c>
      <c r="I59" s="17" t="s">
        <v>348</v>
      </c>
      <c r="J59" s="17" t="s">
        <v>349</v>
      </c>
      <c r="K59" s="31" t="s">
        <v>122</v>
      </c>
      <c r="L59" s="47"/>
      <c r="M59" s="94" t="s">
        <v>114</v>
      </c>
      <c r="N59" s="47"/>
    </row>
    <row r="60" spans="2:14" ht="60.75" thickBot="1" x14ac:dyDescent="0.3">
      <c r="B60" s="18">
        <v>1</v>
      </c>
      <c r="C60" s="18" t="s">
        <v>496</v>
      </c>
      <c r="D60" s="108" t="s">
        <v>104</v>
      </c>
      <c r="E60" s="51" t="s">
        <v>520</v>
      </c>
      <c r="F60" s="20" t="s">
        <v>521</v>
      </c>
      <c r="G60" s="115" t="s">
        <v>123</v>
      </c>
      <c r="H60" s="20" t="s">
        <v>335</v>
      </c>
      <c r="I60" s="17" t="s">
        <v>348</v>
      </c>
      <c r="J60" s="17" t="s">
        <v>349</v>
      </c>
      <c r="K60" s="31" t="s">
        <v>124</v>
      </c>
      <c r="L60" s="47"/>
      <c r="M60" s="99" t="s">
        <v>19</v>
      </c>
      <c r="N60" s="47"/>
    </row>
    <row r="61" spans="2:14" ht="60.75" thickBot="1" x14ac:dyDescent="0.3">
      <c r="B61" s="18">
        <v>1</v>
      </c>
      <c r="C61" s="18" t="s">
        <v>496</v>
      </c>
      <c r="D61" s="108" t="s">
        <v>104</v>
      </c>
      <c r="E61" s="51" t="s">
        <v>522</v>
      </c>
      <c r="F61" s="20" t="s">
        <v>490</v>
      </c>
      <c r="G61" s="115" t="s">
        <v>125</v>
      </c>
      <c r="H61" s="20" t="s">
        <v>335</v>
      </c>
      <c r="I61" s="17" t="s">
        <v>348</v>
      </c>
      <c r="J61" s="17" t="s">
        <v>349</v>
      </c>
      <c r="K61" s="31" t="s">
        <v>122</v>
      </c>
      <c r="L61" s="47"/>
      <c r="M61" s="99" t="s">
        <v>19</v>
      </c>
      <c r="N61" s="47"/>
    </row>
    <row r="62" spans="2:14" ht="60.75" thickBot="1" x14ac:dyDescent="0.3">
      <c r="B62" s="18">
        <v>1</v>
      </c>
      <c r="C62" s="18" t="s">
        <v>496</v>
      </c>
      <c r="D62" s="108" t="s">
        <v>104</v>
      </c>
      <c r="E62" s="51" t="s">
        <v>523</v>
      </c>
      <c r="F62" s="20" t="s">
        <v>490</v>
      </c>
      <c r="G62" s="115" t="s">
        <v>126</v>
      </c>
      <c r="H62" s="20" t="s">
        <v>335</v>
      </c>
      <c r="I62" s="17" t="s">
        <v>348</v>
      </c>
      <c r="J62" s="17" t="s">
        <v>349</v>
      </c>
      <c r="K62" s="31" t="s">
        <v>127</v>
      </c>
      <c r="L62" s="47"/>
      <c r="M62" s="94" t="s">
        <v>114</v>
      </c>
      <c r="N62" s="47"/>
    </row>
    <row r="63" spans="2:14" ht="60.75" thickBot="1" x14ac:dyDescent="0.3">
      <c r="B63" s="18">
        <v>1</v>
      </c>
      <c r="C63" s="18" t="s">
        <v>496</v>
      </c>
      <c r="D63" s="108" t="s">
        <v>104</v>
      </c>
      <c r="E63" s="51" t="s">
        <v>524</v>
      </c>
      <c r="F63" s="20" t="s">
        <v>490</v>
      </c>
      <c r="G63" s="115" t="s">
        <v>128</v>
      </c>
      <c r="H63" s="20" t="s">
        <v>335</v>
      </c>
      <c r="I63" s="17" t="s">
        <v>348</v>
      </c>
      <c r="J63" s="17" t="s">
        <v>349</v>
      </c>
      <c r="K63" s="31" t="s">
        <v>122</v>
      </c>
      <c r="L63" s="47"/>
      <c r="M63" s="94" t="s">
        <v>114</v>
      </c>
      <c r="N63" s="47"/>
    </row>
    <row r="64" spans="2:14" ht="60.75" thickBot="1" x14ac:dyDescent="0.3">
      <c r="B64" s="18">
        <v>1</v>
      </c>
      <c r="C64" s="18" t="s">
        <v>496</v>
      </c>
      <c r="D64" s="108" t="s">
        <v>104</v>
      </c>
      <c r="E64" s="51" t="s">
        <v>525</v>
      </c>
      <c r="F64" s="20" t="s">
        <v>521</v>
      </c>
      <c r="G64" s="115" t="s">
        <v>129</v>
      </c>
      <c r="H64" s="20" t="s">
        <v>335</v>
      </c>
      <c r="I64" s="17" t="s">
        <v>348</v>
      </c>
      <c r="J64" s="17" t="s">
        <v>349</v>
      </c>
      <c r="K64" s="31" t="s">
        <v>122</v>
      </c>
      <c r="L64" s="47"/>
      <c r="M64" s="99" t="s">
        <v>19</v>
      </c>
      <c r="N64" s="47"/>
    </row>
    <row r="65" spans="2:14" ht="60.75" thickBot="1" x14ac:dyDescent="0.3">
      <c r="B65" s="18">
        <v>1</v>
      </c>
      <c r="C65" s="18" t="s">
        <v>496</v>
      </c>
      <c r="D65" s="108" t="s">
        <v>104</v>
      </c>
      <c r="E65" s="51" t="s">
        <v>526</v>
      </c>
      <c r="F65" s="20" t="s">
        <v>490</v>
      </c>
      <c r="G65" s="115" t="s">
        <v>130</v>
      </c>
      <c r="H65" s="20" t="s">
        <v>335</v>
      </c>
      <c r="I65" s="17" t="s">
        <v>348</v>
      </c>
      <c r="J65" s="17" t="s">
        <v>349</v>
      </c>
      <c r="K65" s="31" t="s">
        <v>122</v>
      </c>
      <c r="L65" s="47"/>
      <c r="M65" s="94" t="s">
        <v>114</v>
      </c>
      <c r="N65" s="47"/>
    </row>
    <row r="66" spans="2:14" ht="63.75" thickBot="1" x14ac:dyDescent="0.3">
      <c r="B66" s="18">
        <v>1</v>
      </c>
      <c r="C66" s="18" t="s">
        <v>496</v>
      </c>
      <c r="D66" s="108" t="s">
        <v>104</v>
      </c>
      <c r="E66" s="51" t="s">
        <v>527</v>
      </c>
      <c r="F66" s="20" t="s">
        <v>490</v>
      </c>
      <c r="G66" s="115" t="s">
        <v>131</v>
      </c>
      <c r="H66" s="20" t="s">
        <v>335</v>
      </c>
      <c r="I66" s="17" t="s">
        <v>348</v>
      </c>
      <c r="J66" s="17" t="s">
        <v>349</v>
      </c>
      <c r="K66" s="31" t="s">
        <v>122</v>
      </c>
      <c r="L66" s="47"/>
      <c r="M66" s="99" t="s">
        <v>19</v>
      </c>
      <c r="N66" s="47"/>
    </row>
    <row r="67" spans="2:14" ht="60.75" thickBot="1" x14ac:dyDescent="0.3">
      <c r="B67" s="18">
        <v>1</v>
      </c>
      <c r="C67" s="18" t="s">
        <v>496</v>
      </c>
      <c r="D67" s="108" t="s">
        <v>104</v>
      </c>
      <c r="E67" s="51" t="s">
        <v>528</v>
      </c>
      <c r="F67" s="20" t="s">
        <v>455</v>
      </c>
      <c r="G67" s="115" t="s">
        <v>132</v>
      </c>
      <c r="H67" s="20" t="s">
        <v>335</v>
      </c>
      <c r="I67" s="17" t="s">
        <v>348</v>
      </c>
      <c r="J67" s="17" t="s">
        <v>349</v>
      </c>
      <c r="K67" s="31" t="s">
        <v>122</v>
      </c>
      <c r="L67" s="47"/>
      <c r="M67" s="99" t="s">
        <v>19</v>
      </c>
      <c r="N67" s="47"/>
    </row>
    <row r="68" spans="2:14" ht="60.75" thickBot="1" x14ac:dyDescent="0.3">
      <c r="B68" s="18">
        <v>1</v>
      </c>
      <c r="C68" s="18" t="s">
        <v>496</v>
      </c>
      <c r="D68" s="108" t="s">
        <v>104</v>
      </c>
      <c r="E68" s="51" t="s">
        <v>529</v>
      </c>
      <c r="F68" s="20" t="s">
        <v>490</v>
      </c>
      <c r="G68" s="115" t="s">
        <v>133</v>
      </c>
      <c r="H68" s="20" t="s">
        <v>335</v>
      </c>
      <c r="I68" s="17" t="s">
        <v>348</v>
      </c>
      <c r="J68" s="17" t="s">
        <v>349</v>
      </c>
      <c r="K68" s="119" t="s">
        <v>134</v>
      </c>
      <c r="L68" s="47"/>
      <c r="M68" s="99" t="s">
        <v>19</v>
      </c>
      <c r="N68" s="47"/>
    </row>
    <row r="69" spans="2:14" ht="60.75" thickBot="1" x14ac:dyDescent="0.3">
      <c r="B69" s="18">
        <v>1</v>
      </c>
      <c r="C69" s="18" t="s">
        <v>496</v>
      </c>
      <c r="D69" s="108" t="s">
        <v>104</v>
      </c>
      <c r="E69" s="51" t="s">
        <v>530</v>
      </c>
      <c r="F69" s="20" t="s">
        <v>490</v>
      </c>
      <c r="G69" s="115" t="s">
        <v>135</v>
      </c>
      <c r="H69" s="20" t="s">
        <v>335</v>
      </c>
      <c r="I69" s="17" t="s">
        <v>348</v>
      </c>
      <c r="J69" s="17" t="s">
        <v>349</v>
      </c>
      <c r="K69" s="119" t="s">
        <v>134</v>
      </c>
      <c r="L69" s="47"/>
      <c r="M69" s="99" t="s">
        <v>19</v>
      </c>
      <c r="N69" s="47"/>
    </row>
    <row r="70" spans="2:14" ht="60.75" thickBot="1" x14ac:dyDescent="0.3">
      <c r="B70" s="18">
        <v>1</v>
      </c>
      <c r="C70" s="18" t="s">
        <v>496</v>
      </c>
      <c r="D70" s="108" t="s">
        <v>104</v>
      </c>
      <c r="E70" s="51" t="s">
        <v>531</v>
      </c>
      <c r="F70" s="20" t="s">
        <v>490</v>
      </c>
      <c r="G70" s="115" t="s">
        <v>136</v>
      </c>
      <c r="H70" s="20" t="s">
        <v>335</v>
      </c>
      <c r="I70" s="17" t="s">
        <v>348</v>
      </c>
      <c r="J70" s="17" t="s">
        <v>349</v>
      </c>
      <c r="K70" s="119" t="s">
        <v>134</v>
      </c>
      <c r="L70" s="47"/>
      <c r="M70" s="99" t="s">
        <v>19</v>
      </c>
      <c r="N70" s="47"/>
    </row>
    <row r="71" spans="2:14" ht="60.75" thickBot="1" x14ac:dyDescent="0.3">
      <c r="B71" s="18">
        <v>1</v>
      </c>
      <c r="C71" s="18" t="s">
        <v>496</v>
      </c>
      <c r="D71" s="108" t="s">
        <v>104</v>
      </c>
      <c r="E71" s="51" t="s">
        <v>532</v>
      </c>
      <c r="F71" s="20" t="s">
        <v>490</v>
      </c>
      <c r="G71" s="115" t="s">
        <v>137</v>
      </c>
      <c r="H71" s="20" t="s">
        <v>335</v>
      </c>
      <c r="I71" s="17" t="s">
        <v>348</v>
      </c>
      <c r="J71" s="17" t="s">
        <v>349</v>
      </c>
      <c r="K71" s="119" t="s">
        <v>134</v>
      </c>
      <c r="L71" s="47"/>
      <c r="M71" s="99" t="s">
        <v>19</v>
      </c>
      <c r="N71" s="47"/>
    </row>
    <row r="72" spans="2:14" ht="60" x14ac:dyDescent="0.25">
      <c r="B72" s="18">
        <v>1</v>
      </c>
      <c r="C72" s="18" t="s">
        <v>496</v>
      </c>
      <c r="D72" s="108" t="s">
        <v>104</v>
      </c>
      <c r="E72" s="51" t="s">
        <v>533</v>
      </c>
      <c r="F72" s="20" t="s">
        <v>490</v>
      </c>
      <c r="G72" s="118" t="s">
        <v>138</v>
      </c>
      <c r="H72" s="20" t="s">
        <v>335</v>
      </c>
      <c r="I72" s="17" t="s">
        <v>348</v>
      </c>
      <c r="J72" s="17" t="s">
        <v>349</v>
      </c>
      <c r="K72" s="119" t="s">
        <v>134</v>
      </c>
      <c r="L72" s="47"/>
      <c r="M72" s="99" t="s">
        <v>19</v>
      </c>
      <c r="N72" s="47"/>
    </row>
    <row r="73" spans="2:14" ht="60" x14ac:dyDescent="0.25">
      <c r="B73" s="18">
        <v>1</v>
      </c>
      <c r="C73" s="18" t="s">
        <v>496</v>
      </c>
      <c r="D73" s="108" t="s">
        <v>139</v>
      </c>
      <c r="E73" s="51" t="s">
        <v>534</v>
      </c>
      <c r="F73" s="20" t="s">
        <v>490</v>
      </c>
      <c r="G73" s="127" t="s">
        <v>102</v>
      </c>
      <c r="H73" s="20" t="s">
        <v>335</v>
      </c>
      <c r="I73" s="17" t="s">
        <v>348</v>
      </c>
      <c r="J73" s="17" t="s">
        <v>349</v>
      </c>
      <c r="K73" s="128" t="s">
        <v>140</v>
      </c>
      <c r="L73" s="47"/>
      <c r="M73" s="99" t="s">
        <v>19</v>
      </c>
      <c r="N73" s="47"/>
    </row>
    <row r="74" spans="2:14" ht="60" x14ac:dyDescent="0.25">
      <c r="B74" s="18">
        <v>1</v>
      </c>
      <c r="C74" s="18" t="s">
        <v>496</v>
      </c>
      <c r="D74" s="108" t="s">
        <v>139</v>
      </c>
      <c r="E74" s="209" t="s">
        <v>535</v>
      </c>
      <c r="F74" s="20" t="s">
        <v>490</v>
      </c>
      <c r="G74" s="127" t="s">
        <v>141</v>
      </c>
      <c r="H74" s="20" t="s">
        <v>335</v>
      </c>
      <c r="I74" s="17" t="s">
        <v>348</v>
      </c>
      <c r="J74" s="17" t="s">
        <v>349</v>
      </c>
      <c r="K74" s="128" t="s">
        <v>142</v>
      </c>
      <c r="L74" s="47"/>
      <c r="M74" s="99" t="s">
        <v>19</v>
      </c>
      <c r="N74" s="47"/>
    </row>
    <row r="75" spans="2:14" ht="45" x14ac:dyDescent="0.25">
      <c r="B75" s="18">
        <v>1</v>
      </c>
      <c r="C75" s="18" t="s">
        <v>496</v>
      </c>
      <c r="D75" s="108" t="s">
        <v>139</v>
      </c>
      <c r="E75" s="210" t="s">
        <v>536</v>
      </c>
      <c r="F75" s="208" t="s">
        <v>537</v>
      </c>
      <c r="G75" s="127" t="s">
        <v>143</v>
      </c>
      <c r="H75" s="20" t="s">
        <v>335</v>
      </c>
      <c r="I75" s="17" t="s">
        <v>348</v>
      </c>
      <c r="J75" s="17" t="s">
        <v>349</v>
      </c>
      <c r="K75" s="128" t="s">
        <v>140</v>
      </c>
      <c r="L75" s="47"/>
      <c r="M75" s="99" t="s">
        <v>19</v>
      </c>
      <c r="N75" s="47"/>
    </row>
    <row r="76" spans="2:14" ht="60" x14ac:dyDescent="0.25">
      <c r="B76" s="18">
        <v>1</v>
      </c>
      <c r="C76" s="18" t="s">
        <v>496</v>
      </c>
      <c r="D76" s="108" t="s">
        <v>139</v>
      </c>
      <c r="E76" s="210" t="s">
        <v>538</v>
      </c>
      <c r="F76" s="208" t="s">
        <v>490</v>
      </c>
      <c r="G76" s="127" t="s">
        <v>120</v>
      </c>
      <c r="H76" s="20" t="s">
        <v>335</v>
      </c>
      <c r="I76" s="17" t="s">
        <v>348</v>
      </c>
      <c r="J76" s="17" t="s">
        <v>349</v>
      </c>
      <c r="K76" s="128" t="s">
        <v>140</v>
      </c>
      <c r="L76" s="47"/>
      <c r="M76" s="238" t="s">
        <v>22</v>
      </c>
      <c r="N76" s="47"/>
    </row>
    <row r="77" spans="2:14" ht="60" x14ac:dyDescent="0.25">
      <c r="B77" s="18">
        <v>1</v>
      </c>
      <c r="C77" s="18" t="s">
        <v>496</v>
      </c>
      <c r="D77" s="108" t="s">
        <v>139</v>
      </c>
      <c r="E77" s="210" t="s">
        <v>539</v>
      </c>
      <c r="F77" s="208" t="s">
        <v>490</v>
      </c>
      <c r="G77" s="127" t="s">
        <v>144</v>
      </c>
      <c r="H77" s="20" t="s">
        <v>335</v>
      </c>
      <c r="I77" s="17" t="s">
        <v>348</v>
      </c>
      <c r="J77" s="17" t="s">
        <v>349</v>
      </c>
      <c r="K77" s="128" t="s">
        <v>140</v>
      </c>
      <c r="L77" s="47"/>
      <c r="M77" s="126" t="s">
        <v>19</v>
      </c>
      <c r="N77" s="47"/>
    </row>
    <row r="78" spans="2:14" ht="60" x14ac:dyDescent="0.25">
      <c r="B78" s="18">
        <v>1</v>
      </c>
      <c r="C78" s="18" t="s">
        <v>496</v>
      </c>
      <c r="D78" s="108" t="s">
        <v>139</v>
      </c>
      <c r="E78" s="210" t="s">
        <v>540</v>
      </c>
      <c r="F78" s="208" t="s">
        <v>490</v>
      </c>
      <c r="G78" s="127" t="s">
        <v>145</v>
      </c>
      <c r="H78" s="20" t="s">
        <v>335</v>
      </c>
      <c r="I78" s="17" t="s">
        <v>348</v>
      </c>
      <c r="J78" s="17" t="s">
        <v>349</v>
      </c>
      <c r="K78" s="128" t="s">
        <v>140</v>
      </c>
      <c r="L78" s="47"/>
      <c r="M78" s="138" t="s">
        <v>19</v>
      </c>
      <c r="N78" s="47"/>
    </row>
    <row r="79" spans="2:14" ht="60" x14ac:dyDescent="0.25">
      <c r="B79" s="18">
        <v>1</v>
      </c>
      <c r="C79" s="18" t="s">
        <v>496</v>
      </c>
      <c r="D79" s="108" t="s">
        <v>139</v>
      </c>
      <c r="E79" s="210" t="s">
        <v>541</v>
      </c>
      <c r="F79" s="208" t="s">
        <v>490</v>
      </c>
      <c r="G79" s="127" t="s">
        <v>116</v>
      </c>
      <c r="H79" s="20" t="s">
        <v>335</v>
      </c>
      <c r="I79" s="17" t="s">
        <v>348</v>
      </c>
      <c r="J79" s="17" t="s">
        <v>349</v>
      </c>
      <c r="K79" s="127" t="s">
        <v>106</v>
      </c>
      <c r="L79" s="47"/>
      <c r="M79" s="138" t="s">
        <v>19</v>
      </c>
      <c r="N79" s="47"/>
    </row>
    <row r="80" spans="2:14" ht="60" x14ac:dyDescent="0.25">
      <c r="B80" s="18">
        <v>1</v>
      </c>
      <c r="C80" s="18" t="s">
        <v>496</v>
      </c>
      <c r="D80" s="108" t="s">
        <v>139</v>
      </c>
      <c r="E80" s="210" t="s">
        <v>542</v>
      </c>
      <c r="F80" s="208" t="s">
        <v>490</v>
      </c>
      <c r="G80" s="127" t="s">
        <v>119</v>
      </c>
      <c r="H80" s="20" t="s">
        <v>335</v>
      </c>
      <c r="I80" s="17" t="s">
        <v>348</v>
      </c>
      <c r="J80" s="17" t="s">
        <v>349</v>
      </c>
      <c r="K80" s="127" t="s">
        <v>140</v>
      </c>
      <c r="L80" s="47"/>
      <c r="M80" s="126" t="s">
        <v>19</v>
      </c>
      <c r="N80" s="47"/>
    </row>
    <row r="81" spans="2:14" ht="60" x14ac:dyDescent="0.25">
      <c r="B81" s="18">
        <v>1</v>
      </c>
      <c r="C81" s="18" t="s">
        <v>496</v>
      </c>
      <c r="D81" s="108" t="s">
        <v>139</v>
      </c>
      <c r="E81" s="210" t="s">
        <v>543</v>
      </c>
      <c r="F81" s="208" t="s">
        <v>490</v>
      </c>
      <c r="G81" s="127" t="s">
        <v>146</v>
      </c>
      <c r="H81" s="20" t="s">
        <v>335</v>
      </c>
      <c r="I81" s="17" t="s">
        <v>348</v>
      </c>
      <c r="J81" s="17" t="s">
        <v>349</v>
      </c>
      <c r="K81" s="127" t="s">
        <v>106</v>
      </c>
      <c r="L81" s="47"/>
      <c r="M81" s="126" t="s">
        <v>19</v>
      </c>
      <c r="N81" s="47"/>
    </row>
    <row r="82" spans="2:14" ht="60" x14ac:dyDescent="0.25">
      <c r="B82" s="18">
        <v>1</v>
      </c>
      <c r="C82" s="18" t="s">
        <v>496</v>
      </c>
      <c r="D82" s="108" t="s">
        <v>139</v>
      </c>
      <c r="E82" s="210" t="s">
        <v>544</v>
      </c>
      <c r="F82" s="208" t="s">
        <v>490</v>
      </c>
      <c r="G82" s="127" t="s">
        <v>147</v>
      </c>
      <c r="H82" s="20" t="s">
        <v>335</v>
      </c>
      <c r="I82" s="17" t="s">
        <v>348</v>
      </c>
      <c r="J82" s="17" t="s">
        <v>349</v>
      </c>
      <c r="K82" s="127" t="s">
        <v>148</v>
      </c>
      <c r="L82" s="47"/>
      <c r="M82" s="138" t="s">
        <v>19</v>
      </c>
      <c r="N82" s="47"/>
    </row>
    <row r="83" spans="2:14" ht="60" x14ac:dyDescent="0.25">
      <c r="B83" s="18">
        <v>1</v>
      </c>
      <c r="C83" s="18" t="s">
        <v>496</v>
      </c>
      <c r="D83" s="108" t="s">
        <v>139</v>
      </c>
      <c r="E83" s="210" t="s">
        <v>545</v>
      </c>
      <c r="F83" s="208" t="s">
        <v>490</v>
      </c>
      <c r="G83" s="127" t="s">
        <v>149</v>
      </c>
      <c r="H83" s="20" t="s">
        <v>335</v>
      </c>
      <c r="I83" s="17" t="s">
        <v>348</v>
      </c>
      <c r="J83" s="17" t="s">
        <v>349</v>
      </c>
      <c r="K83" s="127" t="s">
        <v>106</v>
      </c>
      <c r="L83" s="47"/>
      <c r="M83" s="138" t="s">
        <v>19</v>
      </c>
      <c r="N83" s="47"/>
    </row>
    <row r="84" spans="2:14" ht="45" hidden="1" x14ac:dyDescent="0.25">
      <c r="B84" s="18">
        <v>80</v>
      </c>
      <c r="C84" s="18" t="s">
        <v>496</v>
      </c>
      <c r="D84" s="108" t="s">
        <v>150</v>
      </c>
      <c r="E84" s="210" t="s">
        <v>546</v>
      </c>
      <c r="F84" s="212" t="s">
        <v>151</v>
      </c>
      <c r="G84" s="127" t="s">
        <v>547</v>
      </c>
      <c r="H84" s="20" t="s">
        <v>335</v>
      </c>
      <c r="I84" s="17" t="s">
        <v>348</v>
      </c>
      <c r="J84" s="17" t="s">
        <v>349</v>
      </c>
      <c r="K84" s="134" t="s">
        <v>151</v>
      </c>
      <c r="L84" s="161"/>
      <c r="M84" s="162" t="s">
        <v>25</v>
      </c>
      <c r="N84" s="47"/>
    </row>
    <row r="85" spans="2:14" ht="45" hidden="1" x14ac:dyDescent="0.25">
      <c r="B85" s="18">
        <v>81</v>
      </c>
      <c r="C85" s="80" t="s">
        <v>548</v>
      </c>
      <c r="D85" s="108" t="s">
        <v>150</v>
      </c>
      <c r="E85" s="210" t="s">
        <v>549</v>
      </c>
      <c r="F85" s="212" t="s">
        <v>151</v>
      </c>
      <c r="G85" s="127" t="s">
        <v>153</v>
      </c>
      <c r="H85" s="20" t="s">
        <v>335</v>
      </c>
      <c r="I85" s="17" t="s">
        <v>348</v>
      </c>
      <c r="J85" s="17" t="s">
        <v>349</v>
      </c>
      <c r="K85" s="134" t="s">
        <v>151</v>
      </c>
      <c r="L85" s="161"/>
      <c r="M85" s="162" t="s">
        <v>25</v>
      </c>
      <c r="N85" s="47"/>
    </row>
    <row r="86" spans="2:14" ht="45" hidden="1" x14ac:dyDescent="0.25">
      <c r="B86" s="18">
        <v>82</v>
      </c>
      <c r="C86" s="80" t="s">
        <v>548</v>
      </c>
      <c r="D86" s="108" t="s">
        <v>150</v>
      </c>
      <c r="E86" s="210" t="s">
        <v>550</v>
      </c>
      <c r="F86" s="212" t="s">
        <v>151</v>
      </c>
      <c r="G86" s="127" t="s">
        <v>154</v>
      </c>
      <c r="H86" s="20" t="s">
        <v>335</v>
      </c>
      <c r="I86" s="17" t="s">
        <v>348</v>
      </c>
      <c r="J86" s="17" t="s">
        <v>349</v>
      </c>
      <c r="K86" s="134" t="s">
        <v>151</v>
      </c>
      <c r="L86" s="161"/>
      <c r="M86" s="162" t="s">
        <v>25</v>
      </c>
      <c r="N86" s="47"/>
    </row>
    <row r="87" spans="2:14" ht="45" hidden="1" x14ac:dyDescent="0.25">
      <c r="B87" s="18">
        <v>83</v>
      </c>
      <c r="C87" s="80" t="s">
        <v>548</v>
      </c>
      <c r="D87" s="108" t="s">
        <v>150</v>
      </c>
      <c r="E87" s="210" t="s">
        <v>551</v>
      </c>
      <c r="F87" s="212" t="s">
        <v>151</v>
      </c>
      <c r="G87" s="127" t="s">
        <v>155</v>
      </c>
      <c r="H87" s="20" t="s">
        <v>335</v>
      </c>
      <c r="I87" s="17" t="s">
        <v>348</v>
      </c>
      <c r="J87" s="17" t="s">
        <v>349</v>
      </c>
      <c r="K87" s="134" t="s">
        <v>151</v>
      </c>
      <c r="L87" s="161"/>
      <c r="M87" s="162" t="s">
        <v>25</v>
      </c>
      <c r="N87" s="47"/>
    </row>
    <row r="88" spans="2:14" ht="94.5" hidden="1" x14ac:dyDescent="0.25">
      <c r="B88" s="18">
        <v>84</v>
      </c>
      <c r="C88" s="80" t="s">
        <v>548</v>
      </c>
      <c r="D88" s="108" t="s">
        <v>150</v>
      </c>
      <c r="E88" s="210" t="s">
        <v>552</v>
      </c>
      <c r="F88" s="212" t="s">
        <v>151</v>
      </c>
      <c r="G88" s="127" t="s">
        <v>156</v>
      </c>
      <c r="H88" s="20" t="s">
        <v>335</v>
      </c>
      <c r="I88" s="17" t="s">
        <v>348</v>
      </c>
      <c r="J88" s="17" t="s">
        <v>349</v>
      </c>
      <c r="K88" s="134" t="s">
        <v>151</v>
      </c>
      <c r="L88" s="161"/>
      <c r="M88" s="162" t="s">
        <v>25</v>
      </c>
      <c r="N88" s="47"/>
    </row>
    <row r="89" spans="2:14" ht="86.25" hidden="1" customHeight="1" x14ac:dyDescent="0.25">
      <c r="B89" s="18">
        <v>85</v>
      </c>
      <c r="C89" s="80" t="s">
        <v>548</v>
      </c>
      <c r="D89" s="108" t="s">
        <v>150</v>
      </c>
      <c r="E89" s="210" t="s">
        <v>553</v>
      </c>
      <c r="F89" s="212" t="s">
        <v>151</v>
      </c>
      <c r="G89" s="166" t="s">
        <v>554</v>
      </c>
      <c r="H89" s="20" t="s">
        <v>335</v>
      </c>
      <c r="I89" s="17" t="s">
        <v>348</v>
      </c>
      <c r="J89" s="17" t="s">
        <v>349</v>
      </c>
      <c r="K89" s="134" t="s">
        <v>151</v>
      </c>
      <c r="L89" s="161"/>
      <c r="M89" s="162" t="s">
        <v>25</v>
      </c>
      <c r="N89" s="47"/>
    </row>
    <row r="90" spans="2:14" ht="45" hidden="1" x14ac:dyDescent="0.25">
      <c r="B90" s="18">
        <v>86</v>
      </c>
      <c r="C90" s="80" t="s">
        <v>548</v>
      </c>
      <c r="D90" s="108" t="s">
        <v>150</v>
      </c>
      <c r="E90" s="210" t="s">
        <v>555</v>
      </c>
      <c r="F90" s="212" t="s">
        <v>151</v>
      </c>
      <c r="G90" s="127" t="s">
        <v>158</v>
      </c>
      <c r="H90" s="20" t="s">
        <v>335</v>
      </c>
      <c r="I90" s="17" t="s">
        <v>348</v>
      </c>
      <c r="J90" s="17" t="s">
        <v>349</v>
      </c>
      <c r="K90" s="134" t="s">
        <v>151</v>
      </c>
      <c r="L90" s="161"/>
      <c r="M90" s="162" t="s">
        <v>25</v>
      </c>
      <c r="N90" s="47"/>
    </row>
    <row r="91" spans="2:14" ht="45" hidden="1" x14ac:dyDescent="0.25">
      <c r="B91" s="18">
        <v>87</v>
      </c>
      <c r="C91" s="80" t="s">
        <v>548</v>
      </c>
      <c r="D91" s="108" t="s">
        <v>150</v>
      </c>
      <c r="E91" s="210" t="s">
        <v>556</v>
      </c>
      <c r="F91" s="212" t="s">
        <v>151</v>
      </c>
      <c r="G91" s="127" t="s">
        <v>159</v>
      </c>
      <c r="H91" s="20" t="s">
        <v>335</v>
      </c>
      <c r="I91" s="17" t="s">
        <v>348</v>
      </c>
      <c r="J91" s="17" t="s">
        <v>349</v>
      </c>
      <c r="K91" s="134" t="s">
        <v>151</v>
      </c>
      <c r="L91" s="161"/>
      <c r="M91" s="162" t="s">
        <v>25</v>
      </c>
      <c r="N91" s="47"/>
    </row>
    <row r="92" spans="2:14" ht="47.25" hidden="1" x14ac:dyDescent="0.25">
      <c r="B92" s="18">
        <v>88</v>
      </c>
      <c r="C92" s="80" t="s">
        <v>548</v>
      </c>
      <c r="D92" s="108" t="s">
        <v>150</v>
      </c>
      <c r="E92" s="210" t="s">
        <v>557</v>
      </c>
      <c r="F92" s="212" t="s">
        <v>151</v>
      </c>
      <c r="G92" s="127" t="s">
        <v>160</v>
      </c>
      <c r="H92" s="20" t="s">
        <v>335</v>
      </c>
      <c r="I92" s="17" t="s">
        <v>348</v>
      </c>
      <c r="J92" s="17" t="s">
        <v>349</v>
      </c>
      <c r="K92" s="134" t="s">
        <v>151</v>
      </c>
      <c r="L92" s="161"/>
      <c r="M92" s="162" t="s">
        <v>25</v>
      </c>
      <c r="N92" s="47"/>
    </row>
    <row r="93" spans="2:14" ht="47.25" hidden="1" x14ac:dyDescent="0.25">
      <c r="B93" s="18">
        <v>89</v>
      </c>
      <c r="C93" s="80" t="s">
        <v>548</v>
      </c>
      <c r="D93" s="108" t="s">
        <v>161</v>
      </c>
      <c r="E93" s="210" t="s">
        <v>558</v>
      </c>
      <c r="F93" s="212" t="s">
        <v>151</v>
      </c>
      <c r="G93" s="127" t="s">
        <v>162</v>
      </c>
      <c r="H93" s="20" t="s">
        <v>335</v>
      </c>
      <c r="I93" s="17" t="s">
        <v>348</v>
      </c>
      <c r="J93" s="17" t="s">
        <v>349</v>
      </c>
      <c r="K93" s="134" t="s">
        <v>151</v>
      </c>
      <c r="L93" s="161"/>
      <c r="M93" s="162" t="s">
        <v>25</v>
      </c>
      <c r="N93" s="47"/>
    </row>
    <row r="94" spans="2:14" ht="45" hidden="1" x14ac:dyDescent="0.25">
      <c r="B94" s="18">
        <v>90</v>
      </c>
      <c r="C94" s="80" t="s">
        <v>548</v>
      </c>
      <c r="D94" s="108" t="s">
        <v>161</v>
      </c>
      <c r="E94" s="210" t="s">
        <v>559</v>
      </c>
      <c r="F94" s="212" t="s">
        <v>151</v>
      </c>
      <c r="G94" s="127" t="s">
        <v>163</v>
      </c>
      <c r="H94" s="20" t="s">
        <v>335</v>
      </c>
      <c r="I94" s="17" t="s">
        <v>348</v>
      </c>
      <c r="J94" s="17" t="s">
        <v>349</v>
      </c>
      <c r="K94" s="134" t="s">
        <v>151</v>
      </c>
      <c r="L94" s="161"/>
      <c r="M94" s="162" t="s">
        <v>25</v>
      </c>
      <c r="N94" s="47"/>
    </row>
    <row r="95" spans="2:14" ht="110.25" hidden="1" x14ac:dyDescent="0.25">
      <c r="B95" s="18">
        <v>91</v>
      </c>
      <c r="C95" s="80" t="s">
        <v>548</v>
      </c>
      <c r="D95" s="108" t="s">
        <v>161</v>
      </c>
      <c r="E95" s="210" t="s">
        <v>560</v>
      </c>
      <c r="F95" s="212" t="s">
        <v>151</v>
      </c>
      <c r="G95" s="127" t="s">
        <v>164</v>
      </c>
      <c r="H95" s="20" t="s">
        <v>335</v>
      </c>
      <c r="I95" s="17" t="s">
        <v>348</v>
      </c>
      <c r="J95" s="17" t="s">
        <v>349</v>
      </c>
      <c r="K95" s="134" t="s">
        <v>151</v>
      </c>
      <c r="L95" s="161"/>
      <c r="M95" s="162" t="s">
        <v>25</v>
      </c>
      <c r="N95" s="47"/>
    </row>
    <row r="96" spans="2:14" ht="47.25" hidden="1" x14ac:dyDescent="0.25">
      <c r="B96" s="18">
        <v>92</v>
      </c>
      <c r="C96" s="80" t="s">
        <v>548</v>
      </c>
      <c r="D96" s="108" t="s">
        <v>161</v>
      </c>
      <c r="E96" s="210" t="s">
        <v>561</v>
      </c>
      <c r="F96" s="212" t="s">
        <v>151</v>
      </c>
      <c r="G96" s="127" t="s">
        <v>160</v>
      </c>
      <c r="H96" s="20" t="s">
        <v>335</v>
      </c>
      <c r="I96" s="17" t="s">
        <v>348</v>
      </c>
      <c r="J96" s="17" t="s">
        <v>349</v>
      </c>
      <c r="K96" s="134" t="s">
        <v>151</v>
      </c>
      <c r="L96" s="161"/>
      <c r="M96" s="162" t="s">
        <v>25</v>
      </c>
      <c r="N96" s="47"/>
    </row>
    <row r="97" spans="2:14" ht="60" x14ac:dyDescent="0.25">
      <c r="B97" s="18">
        <v>1</v>
      </c>
      <c r="C97" s="80" t="s">
        <v>548</v>
      </c>
      <c r="D97" s="108" t="s">
        <v>187</v>
      </c>
      <c r="E97" s="210" t="s">
        <v>562</v>
      </c>
      <c r="F97" s="208" t="s">
        <v>490</v>
      </c>
      <c r="G97" s="127" t="s">
        <v>188</v>
      </c>
      <c r="H97" s="20" t="s">
        <v>335</v>
      </c>
      <c r="I97" s="17" t="s">
        <v>348</v>
      </c>
      <c r="J97" s="17" t="s">
        <v>349</v>
      </c>
      <c r="K97" s="127" t="s">
        <v>122</v>
      </c>
      <c r="L97" s="47"/>
      <c r="M97" s="99" t="s">
        <v>19</v>
      </c>
      <c r="N97" s="47"/>
    </row>
    <row r="98" spans="2:14" ht="60" x14ac:dyDescent="0.25">
      <c r="B98" s="18">
        <v>1</v>
      </c>
      <c r="C98" s="100">
        <v>45401</v>
      </c>
      <c r="D98" s="149" t="s">
        <v>175</v>
      </c>
      <c r="E98" s="210" t="s">
        <v>563</v>
      </c>
      <c r="F98" s="208" t="s">
        <v>490</v>
      </c>
      <c r="G98" s="150" t="s">
        <v>176</v>
      </c>
      <c r="H98" s="20" t="s">
        <v>335</v>
      </c>
      <c r="I98" s="17" t="s">
        <v>348</v>
      </c>
      <c r="J98" s="17" t="s">
        <v>349</v>
      </c>
      <c r="K98" s="119" t="s">
        <v>134</v>
      </c>
      <c r="L98" s="47"/>
      <c r="M98" s="99" t="s">
        <v>19</v>
      </c>
      <c r="N98" s="47"/>
    </row>
    <row r="99" spans="2:14" ht="60" x14ac:dyDescent="0.25">
      <c r="B99" s="18">
        <v>1</v>
      </c>
      <c r="C99" s="100">
        <v>45401</v>
      </c>
      <c r="D99" s="149" t="s">
        <v>175</v>
      </c>
      <c r="E99" s="210" t="s">
        <v>564</v>
      </c>
      <c r="F99" s="208" t="s">
        <v>490</v>
      </c>
      <c r="G99" s="150" t="s">
        <v>177</v>
      </c>
      <c r="H99" s="20" t="s">
        <v>335</v>
      </c>
      <c r="I99" s="17" t="s">
        <v>348</v>
      </c>
      <c r="J99" s="17" t="s">
        <v>349</v>
      </c>
      <c r="K99" s="119" t="s">
        <v>134</v>
      </c>
      <c r="L99" s="47"/>
      <c r="M99" s="99" t="s">
        <v>19</v>
      </c>
      <c r="N99" s="47"/>
    </row>
    <row r="100" spans="2:14" ht="60" x14ac:dyDescent="0.25">
      <c r="B100" s="18">
        <v>1</v>
      </c>
      <c r="C100" s="100">
        <v>45401</v>
      </c>
      <c r="D100" s="149" t="s">
        <v>175</v>
      </c>
      <c r="E100" s="210" t="s">
        <v>565</v>
      </c>
      <c r="F100" s="208" t="s">
        <v>490</v>
      </c>
      <c r="G100" s="150" t="s">
        <v>178</v>
      </c>
      <c r="H100" s="20" t="s">
        <v>335</v>
      </c>
      <c r="I100" s="17" t="s">
        <v>348</v>
      </c>
      <c r="J100" s="17" t="s">
        <v>349</v>
      </c>
      <c r="K100" s="119" t="s">
        <v>134</v>
      </c>
      <c r="L100" s="47"/>
      <c r="M100" s="99" t="s">
        <v>19</v>
      </c>
      <c r="N100" s="47"/>
    </row>
    <row r="101" spans="2:14" ht="60" x14ac:dyDescent="0.25">
      <c r="B101" s="18">
        <v>1</v>
      </c>
      <c r="C101" s="100">
        <v>45401</v>
      </c>
      <c r="D101" s="149" t="s">
        <v>175</v>
      </c>
      <c r="E101" s="210" t="s">
        <v>566</v>
      </c>
      <c r="F101" s="208" t="s">
        <v>490</v>
      </c>
      <c r="G101" s="150" t="s">
        <v>179</v>
      </c>
      <c r="H101" s="20" t="s">
        <v>335</v>
      </c>
      <c r="I101" s="17" t="s">
        <v>348</v>
      </c>
      <c r="J101" s="17" t="s">
        <v>349</v>
      </c>
      <c r="K101" s="119" t="s">
        <v>134</v>
      </c>
      <c r="L101" s="47"/>
      <c r="M101" s="99" t="s">
        <v>19</v>
      </c>
      <c r="N101" s="47"/>
    </row>
    <row r="102" spans="2:14" ht="60" x14ac:dyDescent="0.25">
      <c r="B102" s="18">
        <v>1</v>
      </c>
      <c r="C102" s="100">
        <v>45401</v>
      </c>
      <c r="D102" s="149" t="s">
        <v>175</v>
      </c>
      <c r="E102" s="210" t="s">
        <v>567</v>
      </c>
      <c r="F102" s="208" t="s">
        <v>490</v>
      </c>
      <c r="G102" s="150" t="s">
        <v>180</v>
      </c>
      <c r="H102" s="20" t="s">
        <v>335</v>
      </c>
      <c r="I102" s="17" t="s">
        <v>348</v>
      </c>
      <c r="J102" s="17" t="s">
        <v>349</v>
      </c>
      <c r="K102" s="119" t="s">
        <v>134</v>
      </c>
      <c r="L102" s="47"/>
      <c r="M102" s="99" t="s">
        <v>19</v>
      </c>
      <c r="N102" s="47"/>
    </row>
    <row r="103" spans="2:14" ht="47.25" x14ac:dyDescent="0.25">
      <c r="B103" s="18">
        <v>1</v>
      </c>
      <c r="C103" s="80" t="s">
        <v>568</v>
      </c>
      <c r="D103" s="108" t="s">
        <v>187</v>
      </c>
      <c r="E103" s="210" t="s">
        <v>569</v>
      </c>
      <c r="F103" s="208" t="s">
        <v>455</v>
      </c>
      <c r="G103" s="127" t="s">
        <v>189</v>
      </c>
      <c r="H103" s="20" t="s">
        <v>335</v>
      </c>
      <c r="I103" s="17" t="s">
        <v>348</v>
      </c>
      <c r="J103" s="17" t="s">
        <v>349</v>
      </c>
      <c r="K103" s="127" t="s">
        <v>122</v>
      </c>
      <c r="L103" s="47"/>
      <c r="M103" s="99" t="s">
        <v>19</v>
      </c>
      <c r="N103" s="47"/>
    </row>
    <row r="104" spans="2:14" ht="60" x14ac:dyDescent="0.25">
      <c r="B104" s="18">
        <v>1</v>
      </c>
      <c r="C104" s="80" t="s">
        <v>568</v>
      </c>
      <c r="D104" s="108" t="s">
        <v>187</v>
      </c>
      <c r="E104" s="210" t="s">
        <v>570</v>
      </c>
      <c r="F104" s="208" t="s">
        <v>490</v>
      </c>
      <c r="G104" s="127" t="s">
        <v>190</v>
      </c>
      <c r="H104" s="20" t="s">
        <v>335</v>
      </c>
      <c r="I104" s="17" t="s">
        <v>348</v>
      </c>
      <c r="J104" s="17" t="s">
        <v>349</v>
      </c>
      <c r="K104" s="127" t="s">
        <v>122</v>
      </c>
      <c r="L104" s="47"/>
      <c r="M104" s="144" t="s">
        <v>25</v>
      </c>
      <c r="N104" s="47"/>
    </row>
    <row r="105" spans="2:14" ht="30" x14ac:dyDescent="0.25">
      <c r="B105" s="18">
        <v>1</v>
      </c>
      <c r="C105" s="45" t="s">
        <v>571</v>
      </c>
      <c r="D105" s="197" t="s">
        <v>16</v>
      </c>
      <c r="E105" s="75" t="s">
        <v>572</v>
      </c>
      <c r="F105" s="208" t="s">
        <v>521</v>
      </c>
      <c r="G105" s="127" t="s">
        <v>192</v>
      </c>
      <c r="H105" s="20" t="s">
        <v>335</v>
      </c>
      <c r="I105" s="17" t="s">
        <v>348</v>
      </c>
      <c r="J105" s="17" t="s">
        <v>349</v>
      </c>
      <c r="K105" s="45" t="s">
        <v>424</v>
      </c>
      <c r="L105" s="45"/>
      <c r="M105" s="142" t="s">
        <v>19</v>
      </c>
      <c r="N105" s="45" t="s">
        <v>573</v>
      </c>
    </row>
    <row r="106" spans="2:14" ht="47.25" hidden="1" x14ac:dyDescent="0.25">
      <c r="B106" s="18">
        <v>102</v>
      </c>
      <c r="C106" s="45" t="s">
        <v>571</v>
      </c>
      <c r="D106" s="197" t="s">
        <v>16</v>
      </c>
      <c r="E106" s="210" t="s">
        <v>574</v>
      </c>
      <c r="F106" s="208" t="s">
        <v>451</v>
      </c>
      <c r="G106" s="127" t="s">
        <v>193</v>
      </c>
      <c r="H106" s="20" t="s">
        <v>335</v>
      </c>
      <c r="I106" s="17" t="s">
        <v>348</v>
      </c>
      <c r="J106" s="17" t="s">
        <v>349</v>
      </c>
      <c r="K106" s="45" t="s">
        <v>424</v>
      </c>
      <c r="L106" s="45"/>
      <c r="M106" s="133" t="s">
        <v>114</v>
      </c>
      <c r="N106" s="45" t="s">
        <v>573</v>
      </c>
    </row>
    <row r="107" spans="2:14" ht="96" customHeight="1" x14ac:dyDescent="0.25">
      <c r="B107" s="18">
        <v>1</v>
      </c>
      <c r="C107" s="80" t="s">
        <v>575</v>
      </c>
      <c r="D107" s="108" t="s">
        <v>194</v>
      </c>
      <c r="E107" s="210" t="s">
        <v>576</v>
      </c>
      <c r="F107" s="208" t="s">
        <v>521</v>
      </c>
      <c r="G107" s="127" t="s">
        <v>195</v>
      </c>
      <c r="H107" s="20" t="s">
        <v>417</v>
      </c>
      <c r="I107" s="17" t="s">
        <v>348</v>
      </c>
      <c r="J107" s="17" t="s">
        <v>349</v>
      </c>
      <c r="K107" s="127" t="s">
        <v>196</v>
      </c>
      <c r="L107" s="45"/>
      <c r="M107" s="126" t="s">
        <v>19</v>
      </c>
      <c r="N107" s="45" t="s">
        <v>577</v>
      </c>
    </row>
    <row r="108" spans="2:14" ht="60" x14ac:dyDescent="0.25">
      <c r="B108" s="18">
        <v>1</v>
      </c>
      <c r="C108" s="80" t="s">
        <v>575</v>
      </c>
      <c r="D108" s="108" t="s">
        <v>194</v>
      </c>
      <c r="E108" s="210" t="s">
        <v>578</v>
      </c>
      <c r="F108" s="208" t="s">
        <v>490</v>
      </c>
      <c r="G108" s="127" t="s">
        <v>197</v>
      </c>
      <c r="H108" s="20" t="s">
        <v>417</v>
      </c>
      <c r="I108" s="17" t="s">
        <v>348</v>
      </c>
      <c r="J108" s="17" t="s">
        <v>349</v>
      </c>
      <c r="K108" s="127" t="s">
        <v>196</v>
      </c>
      <c r="L108" s="45"/>
      <c r="M108" s="126" t="s">
        <v>19</v>
      </c>
      <c r="N108" s="45" t="s">
        <v>577</v>
      </c>
    </row>
    <row r="109" spans="2:14" ht="45" hidden="1" x14ac:dyDescent="0.25">
      <c r="B109" s="18">
        <v>105</v>
      </c>
      <c r="C109" s="45" t="s">
        <v>579</v>
      </c>
      <c r="D109" s="197" t="s">
        <v>16</v>
      </c>
      <c r="E109" s="210" t="s">
        <v>580</v>
      </c>
      <c r="F109" s="208" t="s">
        <v>451</v>
      </c>
      <c r="G109" s="45" t="s">
        <v>204</v>
      </c>
      <c r="H109" s="20" t="s">
        <v>335</v>
      </c>
      <c r="I109" s="17" t="s">
        <v>348</v>
      </c>
      <c r="J109" s="17" t="s">
        <v>349</v>
      </c>
      <c r="K109" s="45" t="s">
        <v>122</v>
      </c>
      <c r="L109" s="45"/>
      <c r="M109" s="126" t="s">
        <v>19</v>
      </c>
      <c r="N109" s="45" t="s">
        <v>581</v>
      </c>
    </row>
    <row r="110" spans="2:14" ht="60" x14ac:dyDescent="0.25">
      <c r="B110" s="18">
        <v>1</v>
      </c>
      <c r="C110" s="45" t="s">
        <v>579</v>
      </c>
      <c r="D110" s="197" t="s">
        <v>16</v>
      </c>
      <c r="E110" s="210" t="s">
        <v>582</v>
      </c>
      <c r="F110" s="208" t="s">
        <v>455</v>
      </c>
      <c r="G110" s="45" t="s">
        <v>206</v>
      </c>
      <c r="H110" s="20" t="s">
        <v>347</v>
      </c>
      <c r="I110" s="17" t="s">
        <v>348</v>
      </c>
      <c r="J110" s="17" t="s">
        <v>349</v>
      </c>
      <c r="K110" s="127" t="s">
        <v>207</v>
      </c>
      <c r="L110" s="45"/>
      <c r="M110" s="126" t="s">
        <v>19</v>
      </c>
      <c r="N110" s="45"/>
    </row>
    <row r="111" spans="2:14" ht="45" x14ac:dyDescent="0.25">
      <c r="B111" s="18">
        <v>1</v>
      </c>
      <c r="C111" s="80" t="s">
        <v>583</v>
      </c>
      <c r="D111" s="197" t="s">
        <v>16</v>
      </c>
      <c r="E111" s="210" t="s">
        <v>584</v>
      </c>
      <c r="F111" s="208" t="s">
        <v>455</v>
      </c>
      <c r="G111" s="45" t="s">
        <v>208</v>
      </c>
      <c r="H111" s="20" t="s">
        <v>335</v>
      </c>
      <c r="I111" s="17" t="s">
        <v>348</v>
      </c>
      <c r="J111" s="17" t="s">
        <v>349</v>
      </c>
      <c r="K111" s="127" t="s">
        <v>585</v>
      </c>
      <c r="L111" s="45"/>
      <c r="M111" s="126" t="s">
        <v>19</v>
      </c>
      <c r="N111" s="45"/>
    </row>
    <row r="112" spans="2:14" ht="60" x14ac:dyDescent="0.25">
      <c r="B112" s="18">
        <v>1</v>
      </c>
      <c r="C112" s="80" t="s">
        <v>583</v>
      </c>
      <c r="D112" s="197" t="s">
        <v>16</v>
      </c>
      <c r="E112" s="210" t="s">
        <v>586</v>
      </c>
      <c r="F112" s="208" t="s">
        <v>455</v>
      </c>
      <c r="G112" s="45" t="s">
        <v>210</v>
      </c>
      <c r="H112" s="20" t="s">
        <v>347</v>
      </c>
      <c r="I112" s="17" t="s">
        <v>348</v>
      </c>
      <c r="J112" s="17" t="s">
        <v>349</v>
      </c>
      <c r="K112" s="127" t="s">
        <v>211</v>
      </c>
      <c r="L112" s="45"/>
      <c r="M112" s="126" t="s">
        <v>19</v>
      </c>
      <c r="N112" s="45"/>
    </row>
    <row r="113" spans="2:14" ht="45" x14ac:dyDescent="0.25">
      <c r="B113" s="18">
        <v>1</v>
      </c>
      <c r="C113" s="45" t="s">
        <v>587</v>
      </c>
      <c r="D113" s="197" t="s">
        <v>16</v>
      </c>
      <c r="E113" s="210" t="s">
        <v>588</v>
      </c>
      <c r="F113" s="208" t="s">
        <v>455</v>
      </c>
      <c r="G113" s="45" t="s">
        <v>216</v>
      </c>
      <c r="H113" s="20" t="s">
        <v>335</v>
      </c>
      <c r="I113" s="17" t="s">
        <v>348</v>
      </c>
      <c r="J113" s="19"/>
      <c r="K113" s="127" t="s">
        <v>20</v>
      </c>
      <c r="L113" s="45"/>
      <c r="M113" s="237" t="s">
        <v>22</v>
      </c>
      <c r="N113" s="45"/>
    </row>
    <row r="114" spans="2:14" ht="60" x14ac:dyDescent="0.25">
      <c r="B114" s="18">
        <v>1</v>
      </c>
      <c r="C114" s="45" t="s">
        <v>589</v>
      </c>
      <c r="D114" s="197" t="s">
        <v>16</v>
      </c>
      <c r="E114" s="210" t="s">
        <v>590</v>
      </c>
      <c r="F114" s="208" t="s">
        <v>490</v>
      </c>
      <c r="G114" s="45" t="s">
        <v>591</v>
      </c>
      <c r="H114" s="20" t="s">
        <v>417</v>
      </c>
      <c r="I114" s="17" t="s">
        <v>348</v>
      </c>
      <c r="J114" s="19"/>
      <c r="K114" s="127" t="s">
        <v>592</v>
      </c>
      <c r="L114" s="45"/>
      <c r="M114" s="237" t="s">
        <v>22</v>
      </c>
      <c r="N114" s="45"/>
    </row>
    <row r="115" spans="2:14" ht="60" x14ac:dyDescent="0.25">
      <c r="B115" s="18">
        <v>1</v>
      </c>
      <c r="C115" s="45" t="s">
        <v>589</v>
      </c>
      <c r="D115" s="197" t="s">
        <v>16</v>
      </c>
      <c r="E115" s="210" t="s">
        <v>593</v>
      </c>
      <c r="F115" s="208" t="s">
        <v>594</v>
      </c>
      <c r="G115" s="45" t="s">
        <v>220</v>
      </c>
      <c r="H115" s="20" t="s">
        <v>347</v>
      </c>
      <c r="I115" s="17" t="s">
        <v>348</v>
      </c>
      <c r="J115" s="17" t="s">
        <v>349</v>
      </c>
      <c r="K115" s="127" t="s">
        <v>221</v>
      </c>
      <c r="L115" s="45"/>
      <c r="M115" s="126" t="s">
        <v>19</v>
      </c>
      <c r="N115" s="45"/>
    </row>
    <row r="116" spans="2:14" ht="60" x14ac:dyDescent="0.25">
      <c r="B116" s="18">
        <v>1</v>
      </c>
      <c r="C116" s="155" t="s">
        <v>595</v>
      </c>
      <c r="D116" s="197" t="s">
        <v>223</v>
      </c>
      <c r="E116" s="45" t="s">
        <v>596</v>
      </c>
      <c r="F116" s="208" t="s">
        <v>490</v>
      </c>
      <c r="G116" s="58" t="s">
        <v>224</v>
      </c>
      <c r="H116" s="20" t="s">
        <v>335</v>
      </c>
      <c r="I116" s="17" t="s">
        <v>348</v>
      </c>
      <c r="J116" s="17" t="s">
        <v>349</v>
      </c>
      <c r="K116" s="127" t="s">
        <v>225</v>
      </c>
      <c r="L116" s="45"/>
      <c r="M116" s="126" t="s">
        <v>19</v>
      </c>
      <c r="N116" s="14" t="s">
        <v>226</v>
      </c>
    </row>
    <row r="117" spans="2:14" ht="75" x14ac:dyDescent="0.25">
      <c r="B117" s="18">
        <v>1</v>
      </c>
      <c r="C117" s="155" t="s">
        <v>595</v>
      </c>
      <c r="D117" s="197" t="s">
        <v>223</v>
      </c>
      <c r="E117" s="45" t="s">
        <v>597</v>
      </c>
      <c r="F117" s="208" t="s">
        <v>490</v>
      </c>
      <c r="G117" s="58" t="s">
        <v>227</v>
      </c>
      <c r="H117" s="20" t="s">
        <v>335</v>
      </c>
      <c r="I117" s="17" t="s">
        <v>348</v>
      </c>
      <c r="J117" s="17" t="s">
        <v>349</v>
      </c>
      <c r="K117" s="127" t="s">
        <v>225</v>
      </c>
      <c r="L117" s="45"/>
      <c r="M117" s="126" t="s">
        <v>19</v>
      </c>
      <c r="N117" s="14" t="s">
        <v>226</v>
      </c>
    </row>
    <row r="118" spans="2:14" ht="75" x14ac:dyDescent="0.25">
      <c r="B118" s="18">
        <v>1</v>
      </c>
      <c r="C118" s="155" t="s">
        <v>595</v>
      </c>
      <c r="D118" s="197" t="s">
        <v>223</v>
      </c>
      <c r="E118" s="45" t="s">
        <v>598</v>
      </c>
      <c r="F118" s="208" t="s">
        <v>490</v>
      </c>
      <c r="G118" s="45" t="s">
        <v>228</v>
      </c>
      <c r="H118" s="20" t="s">
        <v>335</v>
      </c>
      <c r="I118" s="17" t="s">
        <v>348</v>
      </c>
      <c r="J118" s="17" t="s">
        <v>349</v>
      </c>
      <c r="K118" s="127" t="s">
        <v>225</v>
      </c>
      <c r="L118" s="45"/>
      <c r="M118" s="126" t="s">
        <v>19</v>
      </c>
      <c r="N118" s="14" t="s">
        <v>226</v>
      </c>
    </row>
    <row r="119" spans="2:14" ht="60" x14ac:dyDescent="0.25">
      <c r="B119" s="18">
        <v>1</v>
      </c>
      <c r="C119" s="155" t="s">
        <v>595</v>
      </c>
      <c r="D119" s="197" t="s">
        <v>223</v>
      </c>
      <c r="E119" s="45" t="s">
        <v>599</v>
      </c>
      <c r="F119" s="208" t="s">
        <v>490</v>
      </c>
      <c r="G119" s="45" t="s">
        <v>229</v>
      </c>
      <c r="H119" s="20" t="s">
        <v>335</v>
      </c>
      <c r="I119" s="17" t="s">
        <v>348</v>
      </c>
      <c r="J119" s="17" t="s">
        <v>349</v>
      </c>
      <c r="K119" s="127" t="s">
        <v>225</v>
      </c>
      <c r="L119" s="45"/>
      <c r="M119" s="126" t="s">
        <v>19</v>
      </c>
      <c r="N119" s="14" t="s">
        <v>226</v>
      </c>
    </row>
    <row r="120" spans="2:14" ht="60" x14ac:dyDescent="0.25">
      <c r="B120" s="18">
        <v>1</v>
      </c>
      <c r="C120" s="155" t="s">
        <v>595</v>
      </c>
      <c r="D120" s="197" t="s">
        <v>223</v>
      </c>
      <c r="E120" s="45" t="s">
        <v>600</v>
      </c>
      <c r="F120" s="208" t="s">
        <v>490</v>
      </c>
      <c r="G120" s="45" t="s">
        <v>230</v>
      </c>
      <c r="H120" s="20" t="s">
        <v>335</v>
      </c>
      <c r="I120" s="17" t="s">
        <v>348</v>
      </c>
      <c r="J120" s="17" t="s">
        <v>349</v>
      </c>
      <c r="K120" s="127" t="s">
        <v>225</v>
      </c>
      <c r="L120" s="45"/>
      <c r="M120" s="126" t="s">
        <v>19</v>
      </c>
      <c r="N120" s="14" t="s">
        <v>226</v>
      </c>
    </row>
    <row r="121" spans="2:14" ht="60" x14ac:dyDescent="0.25">
      <c r="B121" s="18">
        <v>1</v>
      </c>
      <c r="C121" s="155" t="s">
        <v>595</v>
      </c>
      <c r="D121" s="197" t="s">
        <v>223</v>
      </c>
      <c r="E121" s="45" t="s">
        <v>601</v>
      </c>
      <c r="F121" s="208" t="s">
        <v>490</v>
      </c>
      <c r="G121" s="45" t="s">
        <v>231</v>
      </c>
      <c r="H121" s="20" t="s">
        <v>335</v>
      </c>
      <c r="I121" s="17" t="s">
        <v>348</v>
      </c>
      <c r="J121" s="17" t="s">
        <v>349</v>
      </c>
      <c r="K121" s="127" t="s">
        <v>225</v>
      </c>
      <c r="L121" s="45"/>
      <c r="M121" s="126" t="s">
        <v>19</v>
      </c>
      <c r="N121" s="14" t="s">
        <v>226</v>
      </c>
    </row>
    <row r="122" spans="2:14" ht="60" x14ac:dyDescent="0.25">
      <c r="B122" s="18">
        <v>1</v>
      </c>
      <c r="C122" s="155" t="s">
        <v>595</v>
      </c>
      <c r="D122" s="197" t="s">
        <v>223</v>
      </c>
      <c r="E122" s="45" t="s">
        <v>602</v>
      </c>
      <c r="F122" s="208" t="s">
        <v>490</v>
      </c>
      <c r="G122" s="45" t="s">
        <v>232</v>
      </c>
      <c r="H122" s="20" t="s">
        <v>335</v>
      </c>
      <c r="I122" s="17" t="s">
        <v>348</v>
      </c>
      <c r="J122" s="17" t="s">
        <v>349</v>
      </c>
      <c r="K122" s="127" t="s">
        <v>225</v>
      </c>
      <c r="L122" s="45"/>
      <c r="M122" s="126" t="s">
        <v>19</v>
      </c>
      <c r="N122" s="14" t="s">
        <v>226</v>
      </c>
    </row>
    <row r="123" spans="2:14" ht="110.25" x14ac:dyDescent="0.25">
      <c r="B123" s="18">
        <v>1</v>
      </c>
      <c r="C123" s="155" t="s">
        <v>595</v>
      </c>
      <c r="D123" s="197" t="s">
        <v>223</v>
      </c>
      <c r="E123" s="45" t="s">
        <v>603</v>
      </c>
      <c r="F123" s="208" t="s">
        <v>455</v>
      </c>
      <c r="G123" s="127" t="s">
        <v>233</v>
      </c>
      <c r="H123" s="20" t="s">
        <v>335</v>
      </c>
      <c r="I123" s="17" t="s">
        <v>348</v>
      </c>
      <c r="J123" s="17" t="s">
        <v>349</v>
      </c>
      <c r="K123" s="127" t="s">
        <v>225</v>
      </c>
      <c r="L123" s="45"/>
      <c r="M123" s="126" t="s">
        <v>19</v>
      </c>
      <c r="N123" s="14" t="s">
        <v>226</v>
      </c>
    </row>
    <row r="124" spans="2:14" ht="60" x14ac:dyDescent="0.25">
      <c r="B124" s="18">
        <v>1</v>
      </c>
      <c r="C124" s="155" t="s">
        <v>595</v>
      </c>
      <c r="D124" s="197" t="s">
        <v>223</v>
      </c>
      <c r="E124" s="45" t="s">
        <v>604</v>
      </c>
      <c r="F124" s="208" t="s">
        <v>490</v>
      </c>
      <c r="G124" s="127" t="s">
        <v>234</v>
      </c>
      <c r="H124" s="20" t="s">
        <v>335</v>
      </c>
      <c r="I124" s="17" t="s">
        <v>348</v>
      </c>
      <c r="J124" s="17" t="s">
        <v>349</v>
      </c>
      <c r="K124" s="127" t="s">
        <v>225</v>
      </c>
      <c r="L124" s="45"/>
      <c r="M124" s="126" t="s">
        <v>19</v>
      </c>
      <c r="N124" s="14" t="s">
        <v>226</v>
      </c>
    </row>
    <row r="125" spans="2:14" ht="94.5" x14ac:dyDescent="0.25">
      <c r="B125" s="18">
        <v>1</v>
      </c>
      <c r="C125" s="155" t="s">
        <v>595</v>
      </c>
      <c r="D125" s="197" t="s">
        <v>223</v>
      </c>
      <c r="E125" s="45" t="s">
        <v>605</v>
      </c>
      <c r="F125" s="208" t="s">
        <v>490</v>
      </c>
      <c r="G125" s="127" t="s">
        <v>235</v>
      </c>
      <c r="H125" s="20" t="s">
        <v>335</v>
      </c>
      <c r="I125" s="17" t="s">
        <v>348</v>
      </c>
      <c r="J125" s="17" t="s">
        <v>349</v>
      </c>
      <c r="K125" s="127" t="s">
        <v>225</v>
      </c>
      <c r="L125" s="45"/>
      <c r="M125" s="126" t="s">
        <v>19</v>
      </c>
      <c r="N125" s="14" t="s">
        <v>226</v>
      </c>
    </row>
    <row r="126" spans="2:14" ht="110.25" x14ac:dyDescent="0.25">
      <c r="B126" s="18">
        <v>1</v>
      </c>
      <c r="C126" s="155" t="s">
        <v>595</v>
      </c>
      <c r="D126" s="197" t="s">
        <v>223</v>
      </c>
      <c r="E126" s="45" t="s">
        <v>606</v>
      </c>
      <c r="F126" s="208" t="s">
        <v>455</v>
      </c>
      <c r="G126" s="127" t="s">
        <v>236</v>
      </c>
      <c r="H126" s="20" t="s">
        <v>335</v>
      </c>
      <c r="I126" s="17" t="s">
        <v>348</v>
      </c>
      <c r="J126" s="17" t="s">
        <v>349</v>
      </c>
      <c r="K126" s="127" t="s">
        <v>225</v>
      </c>
      <c r="L126" s="45"/>
      <c r="M126" s="126" t="s">
        <v>19</v>
      </c>
      <c r="N126" s="14" t="s">
        <v>226</v>
      </c>
    </row>
    <row r="127" spans="2:14" ht="63" x14ac:dyDescent="0.25">
      <c r="B127" s="18">
        <v>1</v>
      </c>
      <c r="C127" s="165">
        <v>45462</v>
      </c>
      <c r="D127" s="197" t="s">
        <v>16</v>
      </c>
      <c r="E127" s="45" t="s">
        <v>607</v>
      </c>
      <c r="F127" s="208" t="s">
        <v>455</v>
      </c>
      <c r="G127" s="127" t="s">
        <v>240</v>
      </c>
      <c r="H127" s="20" t="s">
        <v>335</v>
      </c>
      <c r="I127" s="17" t="s">
        <v>348</v>
      </c>
      <c r="J127" s="17" t="s">
        <v>349</v>
      </c>
      <c r="K127" s="127" t="s">
        <v>241</v>
      </c>
      <c r="L127" s="45"/>
      <c r="M127" s="126" t="s">
        <v>19</v>
      </c>
      <c r="N127" s="45"/>
    </row>
    <row r="128" spans="2:14" ht="57" customHeight="1" x14ac:dyDescent="0.25">
      <c r="B128" s="18">
        <v>1</v>
      </c>
      <c r="C128" s="155">
        <v>45405</v>
      </c>
      <c r="D128" s="197" t="s">
        <v>16</v>
      </c>
      <c r="E128" s="45" t="s">
        <v>608</v>
      </c>
      <c r="F128" s="208" t="s">
        <v>455</v>
      </c>
      <c r="G128" s="32" t="s">
        <v>609</v>
      </c>
      <c r="H128" s="20" t="s">
        <v>335</v>
      </c>
      <c r="I128" s="17" t="s">
        <v>348</v>
      </c>
      <c r="J128" s="17" t="s">
        <v>349</v>
      </c>
      <c r="K128" s="127" t="s">
        <v>610</v>
      </c>
      <c r="L128" s="45"/>
      <c r="M128" s="126" t="s">
        <v>19</v>
      </c>
      <c r="N128" s="45" t="s">
        <v>611</v>
      </c>
    </row>
    <row r="129" spans="2:14" ht="81.75" customHeight="1" x14ac:dyDescent="0.25">
      <c r="B129" s="18">
        <v>1</v>
      </c>
      <c r="C129" s="155">
        <v>45405</v>
      </c>
      <c r="D129" s="197" t="s">
        <v>16</v>
      </c>
      <c r="E129" s="45" t="s">
        <v>612</v>
      </c>
      <c r="F129" s="208" t="s">
        <v>455</v>
      </c>
      <c r="G129" s="166" t="s">
        <v>246</v>
      </c>
      <c r="H129" s="20" t="s">
        <v>417</v>
      </c>
      <c r="I129" s="17" t="s">
        <v>348</v>
      </c>
      <c r="J129" s="17" t="s">
        <v>349</v>
      </c>
      <c r="K129" s="127" t="s">
        <v>247</v>
      </c>
      <c r="L129" s="45"/>
      <c r="M129" s="133" t="s">
        <v>114</v>
      </c>
      <c r="N129" s="45" t="s">
        <v>611</v>
      </c>
    </row>
    <row r="130" spans="2:14" customFormat="1" ht="68.25" customHeight="1" x14ac:dyDescent="0.25">
      <c r="B130" s="18">
        <v>1</v>
      </c>
      <c r="C130" s="159">
        <v>45498</v>
      </c>
      <c r="D130" s="197" t="s">
        <v>16</v>
      </c>
      <c r="E130" s="45" t="s">
        <v>613</v>
      </c>
      <c r="F130" s="208" t="s">
        <v>455</v>
      </c>
      <c r="G130" s="166" t="s">
        <v>614</v>
      </c>
      <c r="H130" s="20" t="s">
        <v>335</v>
      </c>
      <c r="I130" s="17" t="s">
        <v>348</v>
      </c>
      <c r="J130" s="17" t="s">
        <v>349</v>
      </c>
      <c r="K130" s="45" t="s">
        <v>249</v>
      </c>
      <c r="L130" s="45"/>
      <c r="M130" s="133" t="s">
        <v>114</v>
      </c>
      <c r="N130" s="45"/>
    </row>
    <row r="131" spans="2:14" ht="36" hidden="1" customHeight="1" x14ac:dyDescent="0.25">
      <c r="B131" s="18">
        <v>127</v>
      </c>
      <c r="C131" s="159">
        <v>45502</v>
      </c>
      <c r="D131" s="197" t="s">
        <v>16</v>
      </c>
      <c r="E131" s="45" t="s">
        <v>615</v>
      </c>
      <c r="F131" s="208" t="s">
        <v>451</v>
      </c>
      <c r="G131" s="127" t="s">
        <v>252</v>
      </c>
      <c r="H131" s="20" t="s">
        <v>347</v>
      </c>
      <c r="I131" s="17" t="s">
        <v>348</v>
      </c>
      <c r="J131" s="17" t="s">
        <v>349</v>
      </c>
      <c r="K131" s="45" t="s">
        <v>616</v>
      </c>
      <c r="L131" s="45"/>
      <c r="M131" s="133" t="s">
        <v>114</v>
      </c>
      <c r="N131" s="45"/>
    </row>
    <row r="132" spans="2:14" ht="81" customHeight="1" x14ac:dyDescent="0.25">
      <c r="B132" s="18">
        <v>1</v>
      </c>
      <c r="C132" s="165">
        <v>45525</v>
      </c>
      <c r="D132" s="197" t="s">
        <v>617</v>
      </c>
      <c r="E132" s="45" t="s">
        <v>618</v>
      </c>
      <c r="F132" s="208" t="s">
        <v>490</v>
      </c>
      <c r="G132" s="166" t="s">
        <v>259</v>
      </c>
      <c r="H132" s="20" t="s">
        <v>335</v>
      </c>
      <c r="I132" s="17" t="s">
        <v>348</v>
      </c>
      <c r="J132" s="17" t="s">
        <v>349</v>
      </c>
      <c r="K132" s="45" t="s">
        <v>251</v>
      </c>
      <c r="L132" s="45"/>
      <c r="M132" s="237" t="s">
        <v>22</v>
      </c>
      <c r="N132" s="45" t="s">
        <v>619</v>
      </c>
    </row>
    <row r="133" spans="2:14" ht="94.5" x14ac:dyDescent="0.25">
      <c r="B133" s="18">
        <v>1</v>
      </c>
      <c r="C133" s="165">
        <v>45525</v>
      </c>
      <c r="D133" s="197" t="s">
        <v>16</v>
      </c>
      <c r="E133" s="45" t="s">
        <v>620</v>
      </c>
      <c r="F133" s="208" t="s">
        <v>455</v>
      </c>
      <c r="G133" s="166" t="s">
        <v>260</v>
      </c>
      <c r="H133" s="20" t="s">
        <v>417</v>
      </c>
      <c r="I133" s="17" t="s">
        <v>348</v>
      </c>
      <c r="J133" s="17" t="s">
        <v>349</v>
      </c>
      <c r="K133" s="45" t="s">
        <v>209</v>
      </c>
      <c r="L133" s="45"/>
      <c r="M133" s="126" t="s">
        <v>19</v>
      </c>
      <c r="N133" s="45" t="s">
        <v>621</v>
      </c>
    </row>
    <row r="134" spans="2:14" ht="78.75" x14ac:dyDescent="0.25">
      <c r="B134" s="18">
        <v>1</v>
      </c>
      <c r="C134" s="165">
        <v>45534</v>
      </c>
      <c r="D134" s="211" t="s">
        <v>622</v>
      </c>
      <c r="E134" s="45" t="s">
        <v>623</v>
      </c>
      <c r="F134" s="208" t="s">
        <v>490</v>
      </c>
      <c r="G134" s="166" t="s">
        <v>263</v>
      </c>
      <c r="H134" s="20" t="s">
        <v>335</v>
      </c>
      <c r="I134" s="17" t="s">
        <v>348</v>
      </c>
      <c r="J134" s="17" t="s">
        <v>349</v>
      </c>
      <c r="K134" s="45" t="s">
        <v>251</v>
      </c>
      <c r="L134" s="45"/>
      <c r="M134" s="143" t="s">
        <v>22</v>
      </c>
      <c r="N134" s="45" t="s">
        <v>624</v>
      </c>
    </row>
    <row r="135" spans="2:14" ht="78.75" x14ac:dyDescent="0.25">
      <c r="B135" s="18">
        <v>1</v>
      </c>
      <c r="C135" s="165">
        <v>45534</v>
      </c>
      <c r="D135" s="211" t="s">
        <v>622</v>
      </c>
      <c r="E135" s="45" t="s">
        <v>625</v>
      </c>
      <c r="F135" s="208" t="s">
        <v>490</v>
      </c>
      <c r="G135" s="166" t="s">
        <v>264</v>
      </c>
      <c r="H135" s="20" t="s">
        <v>335</v>
      </c>
      <c r="I135" s="17" t="s">
        <v>348</v>
      </c>
      <c r="J135" s="17" t="s">
        <v>349</v>
      </c>
      <c r="K135" s="45" t="s">
        <v>251</v>
      </c>
      <c r="L135" s="45"/>
      <c r="M135" s="143" t="s">
        <v>22</v>
      </c>
      <c r="N135" s="45" t="s">
        <v>624</v>
      </c>
    </row>
    <row r="136" spans="2:14" ht="78.75" x14ac:dyDescent="0.25">
      <c r="B136" s="18">
        <v>1</v>
      </c>
      <c r="C136" s="165">
        <v>45534</v>
      </c>
      <c r="D136" s="211" t="s">
        <v>622</v>
      </c>
      <c r="E136" s="45" t="s">
        <v>626</v>
      </c>
      <c r="F136" s="208" t="s">
        <v>490</v>
      </c>
      <c r="G136" s="166" t="s">
        <v>265</v>
      </c>
      <c r="H136" s="20" t="s">
        <v>335</v>
      </c>
      <c r="I136" s="17" t="s">
        <v>348</v>
      </c>
      <c r="J136" s="17" t="s">
        <v>349</v>
      </c>
      <c r="K136" s="45" t="s">
        <v>251</v>
      </c>
      <c r="L136" s="45"/>
      <c r="M136" s="143" t="s">
        <v>22</v>
      </c>
      <c r="N136" s="45" t="s">
        <v>624</v>
      </c>
    </row>
    <row r="137" spans="2:14" ht="78.75" x14ac:dyDescent="0.25">
      <c r="B137" s="18">
        <v>1</v>
      </c>
      <c r="C137" s="165">
        <v>45534</v>
      </c>
      <c r="D137" s="211" t="s">
        <v>622</v>
      </c>
      <c r="E137" s="45" t="s">
        <v>627</v>
      </c>
      <c r="F137" s="208" t="s">
        <v>490</v>
      </c>
      <c r="G137" s="166" t="s">
        <v>266</v>
      </c>
      <c r="H137" s="20" t="s">
        <v>335</v>
      </c>
      <c r="I137" s="17" t="s">
        <v>348</v>
      </c>
      <c r="J137" s="17" t="s">
        <v>349</v>
      </c>
      <c r="K137" s="45" t="s">
        <v>251</v>
      </c>
      <c r="L137" s="45"/>
      <c r="M137" s="143" t="s">
        <v>22</v>
      </c>
      <c r="N137" s="45" t="s">
        <v>624</v>
      </c>
    </row>
    <row r="138" spans="2:14" ht="78.75" x14ac:dyDescent="0.25">
      <c r="B138" s="18">
        <v>1</v>
      </c>
      <c r="C138" s="165">
        <v>45534</v>
      </c>
      <c r="D138" s="211" t="s">
        <v>622</v>
      </c>
      <c r="E138" s="45" t="s">
        <v>628</v>
      </c>
      <c r="F138" s="208" t="s">
        <v>490</v>
      </c>
      <c r="G138" s="166" t="s">
        <v>267</v>
      </c>
      <c r="H138" s="20" t="s">
        <v>335</v>
      </c>
      <c r="I138" s="17" t="s">
        <v>348</v>
      </c>
      <c r="J138" s="17" t="s">
        <v>349</v>
      </c>
      <c r="K138" s="45" t="s">
        <v>251</v>
      </c>
      <c r="L138" s="45"/>
      <c r="M138" s="143" t="s">
        <v>22</v>
      </c>
      <c r="N138" s="45" t="s">
        <v>624</v>
      </c>
    </row>
    <row r="139" spans="2:14" ht="78.75" x14ac:dyDescent="0.25">
      <c r="B139" s="18">
        <v>1</v>
      </c>
      <c r="C139" s="165">
        <v>45534</v>
      </c>
      <c r="D139" s="211" t="s">
        <v>622</v>
      </c>
      <c r="E139" s="45" t="s">
        <v>629</v>
      </c>
      <c r="F139" s="208" t="s">
        <v>490</v>
      </c>
      <c r="G139" s="166" t="s">
        <v>268</v>
      </c>
      <c r="H139" s="20" t="s">
        <v>335</v>
      </c>
      <c r="I139" s="17" t="s">
        <v>348</v>
      </c>
      <c r="J139" s="17" t="s">
        <v>349</v>
      </c>
      <c r="K139" s="45" t="s">
        <v>251</v>
      </c>
      <c r="L139" s="45"/>
      <c r="M139" s="143" t="s">
        <v>22</v>
      </c>
      <c r="N139" s="45" t="s">
        <v>624</v>
      </c>
    </row>
    <row r="140" spans="2:14" ht="78.75" x14ac:dyDescent="0.25">
      <c r="B140" s="18">
        <v>1</v>
      </c>
      <c r="C140" s="165">
        <v>45534</v>
      </c>
      <c r="D140" s="211" t="s">
        <v>622</v>
      </c>
      <c r="E140" s="45" t="s">
        <v>630</v>
      </c>
      <c r="F140" s="208" t="s">
        <v>490</v>
      </c>
      <c r="G140" s="166" t="s">
        <v>269</v>
      </c>
      <c r="H140" s="20" t="s">
        <v>335</v>
      </c>
      <c r="I140" s="17" t="s">
        <v>348</v>
      </c>
      <c r="J140" s="17" t="s">
        <v>349</v>
      </c>
      <c r="K140" s="45" t="s">
        <v>251</v>
      </c>
      <c r="L140" s="45"/>
      <c r="M140" s="143" t="s">
        <v>22</v>
      </c>
      <c r="N140" s="45" t="s">
        <v>624</v>
      </c>
    </row>
    <row r="141" spans="2:14" ht="78.75" x14ac:dyDescent="0.25">
      <c r="B141" s="18">
        <v>1</v>
      </c>
      <c r="C141" s="165">
        <v>45534</v>
      </c>
      <c r="D141" s="127" t="s">
        <v>622</v>
      </c>
      <c r="E141" s="45" t="s">
        <v>631</v>
      </c>
      <c r="F141" s="20" t="s">
        <v>490</v>
      </c>
      <c r="G141" s="166" t="s">
        <v>270</v>
      </c>
      <c r="H141" s="20" t="s">
        <v>335</v>
      </c>
      <c r="I141" s="17" t="s">
        <v>348</v>
      </c>
      <c r="J141" s="17" t="s">
        <v>349</v>
      </c>
      <c r="K141" s="45" t="s">
        <v>251</v>
      </c>
      <c r="L141" s="45"/>
      <c r="M141" s="143" t="s">
        <v>22</v>
      </c>
      <c r="N141" s="45" t="s">
        <v>624</v>
      </c>
    </row>
    <row r="142" spans="2:14" ht="78.75" x14ac:dyDescent="0.25">
      <c r="B142" s="18">
        <v>1</v>
      </c>
      <c r="C142" s="165">
        <v>45534</v>
      </c>
      <c r="D142" s="127" t="s">
        <v>622</v>
      </c>
      <c r="E142" s="45" t="s">
        <v>632</v>
      </c>
      <c r="F142" s="20" t="s">
        <v>490</v>
      </c>
      <c r="G142" s="166" t="s">
        <v>271</v>
      </c>
      <c r="H142" s="20" t="s">
        <v>335</v>
      </c>
      <c r="I142" s="17" t="s">
        <v>348</v>
      </c>
      <c r="J142" s="17" t="s">
        <v>349</v>
      </c>
      <c r="K142" s="45" t="s">
        <v>251</v>
      </c>
      <c r="L142" s="45"/>
      <c r="M142" s="143" t="s">
        <v>22</v>
      </c>
      <c r="N142" s="45" t="s">
        <v>624</v>
      </c>
    </row>
    <row r="143" spans="2:14" ht="78.75" x14ac:dyDescent="0.25">
      <c r="B143" s="18">
        <v>1</v>
      </c>
      <c r="C143" s="165">
        <v>45534</v>
      </c>
      <c r="D143" s="127" t="s">
        <v>622</v>
      </c>
      <c r="E143" s="45" t="s">
        <v>633</v>
      </c>
      <c r="F143" s="20" t="s">
        <v>490</v>
      </c>
      <c r="G143" s="166" t="s">
        <v>272</v>
      </c>
      <c r="H143" s="20" t="s">
        <v>335</v>
      </c>
      <c r="I143" s="17" t="s">
        <v>348</v>
      </c>
      <c r="J143" s="17" t="s">
        <v>349</v>
      </c>
      <c r="K143" s="45" t="s">
        <v>251</v>
      </c>
      <c r="L143" s="45"/>
      <c r="M143" s="143" t="s">
        <v>22</v>
      </c>
      <c r="N143" s="45" t="s">
        <v>624</v>
      </c>
    </row>
    <row r="144" spans="2:14" ht="78.75" x14ac:dyDescent="0.25">
      <c r="B144" s="18">
        <v>1</v>
      </c>
      <c r="C144" s="165">
        <v>45534</v>
      </c>
      <c r="D144" s="127" t="s">
        <v>622</v>
      </c>
      <c r="E144" s="45" t="s">
        <v>634</v>
      </c>
      <c r="F144" s="20" t="s">
        <v>490</v>
      </c>
      <c r="G144" s="166" t="s">
        <v>273</v>
      </c>
      <c r="H144" s="20" t="s">
        <v>335</v>
      </c>
      <c r="I144" s="17" t="s">
        <v>348</v>
      </c>
      <c r="J144" s="17" t="s">
        <v>349</v>
      </c>
      <c r="K144" s="45" t="s">
        <v>251</v>
      </c>
      <c r="L144" s="45"/>
      <c r="M144" s="143" t="s">
        <v>22</v>
      </c>
      <c r="N144" s="45" t="s">
        <v>624</v>
      </c>
    </row>
    <row r="145" spans="2:14" ht="78.75" x14ac:dyDescent="0.25">
      <c r="B145" s="18">
        <v>1</v>
      </c>
      <c r="C145" s="165">
        <v>45534</v>
      </c>
      <c r="D145" s="127" t="s">
        <v>622</v>
      </c>
      <c r="E145" s="45" t="s">
        <v>635</v>
      </c>
      <c r="F145" s="20" t="s">
        <v>490</v>
      </c>
      <c r="G145" s="166" t="s">
        <v>274</v>
      </c>
      <c r="H145" s="20" t="s">
        <v>335</v>
      </c>
      <c r="I145" s="17" t="s">
        <v>348</v>
      </c>
      <c r="J145" s="17" t="s">
        <v>349</v>
      </c>
      <c r="K145" s="45" t="s">
        <v>251</v>
      </c>
      <c r="L145" s="45"/>
      <c r="M145" s="143" t="s">
        <v>22</v>
      </c>
      <c r="N145" s="45" t="s">
        <v>624</v>
      </c>
    </row>
    <row r="146" spans="2:14" ht="78.75" x14ac:dyDescent="0.25">
      <c r="B146" s="18">
        <v>1</v>
      </c>
      <c r="C146" s="165">
        <v>45534</v>
      </c>
      <c r="D146" s="127" t="s">
        <v>622</v>
      </c>
      <c r="E146" s="45" t="s">
        <v>636</v>
      </c>
      <c r="F146" s="20" t="s">
        <v>637</v>
      </c>
      <c r="G146" s="166" t="s">
        <v>275</v>
      </c>
      <c r="H146" s="20" t="s">
        <v>335</v>
      </c>
      <c r="I146" s="17" t="s">
        <v>348</v>
      </c>
      <c r="J146" s="17" t="s">
        <v>349</v>
      </c>
      <c r="K146" s="45" t="s">
        <v>251</v>
      </c>
      <c r="L146" s="45"/>
      <c r="M146" s="143" t="s">
        <v>22</v>
      </c>
      <c r="N146" s="45" t="s">
        <v>624</v>
      </c>
    </row>
    <row r="147" spans="2:14" ht="78.75" x14ac:dyDescent="0.25">
      <c r="B147" s="18">
        <v>1</v>
      </c>
      <c r="C147" s="165">
        <v>45534</v>
      </c>
      <c r="D147" s="127" t="s">
        <v>622</v>
      </c>
      <c r="E147" s="45" t="s">
        <v>638</v>
      </c>
      <c r="F147" s="20" t="s">
        <v>490</v>
      </c>
      <c r="G147" s="166" t="s">
        <v>276</v>
      </c>
      <c r="H147" s="20" t="s">
        <v>335</v>
      </c>
      <c r="I147" s="17" t="s">
        <v>348</v>
      </c>
      <c r="J147" s="17" t="s">
        <v>349</v>
      </c>
      <c r="K147" s="45" t="s">
        <v>251</v>
      </c>
      <c r="L147" s="45"/>
      <c r="M147" s="143" t="s">
        <v>22</v>
      </c>
      <c r="N147" s="45" t="s">
        <v>624</v>
      </c>
    </row>
    <row r="148" spans="2:14" ht="78.75" x14ac:dyDescent="0.25">
      <c r="B148" s="18">
        <v>1</v>
      </c>
      <c r="C148" s="165">
        <v>45534</v>
      </c>
      <c r="D148" s="127" t="s">
        <v>622</v>
      </c>
      <c r="E148" s="45" t="s">
        <v>639</v>
      </c>
      <c r="F148" s="20" t="s">
        <v>521</v>
      </c>
      <c r="G148" s="166" t="s">
        <v>277</v>
      </c>
      <c r="H148" s="20" t="s">
        <v>335</v>
      </c>
      <c r="I148" s="17" t="s">
        <v>348</v>
      </c>
      <c r="J148" s="17" t="s">
        <v>349</v>
      </c>
      <c r="K148" s="45" t="s">
        <v>251</v>
      </c>
      <c r="L148" s="45"/>
      <c r="M148" s="143" t="s">
        <v>22</v>
      </c>
      <c r="N148" s="45" t="s">
        <v>624</v>
      </c>
    </row>
    <row r="149" spans="2:14" ht="78.75" x14ac:dyDescent="0.25">
      <c r="B149" s="18">
        <v>1</v>
      </c>
      <c r="C149" s="165">
        <v>45534</v>
      </c>
      <c r="D149" s="127" t="s">
        <v>622</v>
      </c>
      <c r="E149" s="45" t="s">
        <v>640</v>
      </c>
      <c r="F149" s="20" t="s">
        <v>490</v>
      </c>
      <c r="G149" s="166" t="s">
        <v>278</v>
      </c>
      <c r="H149" s="20" t="s">
        <v>335</v>
      </c>
      <c r="I149" s="17" t="s">
        <v>348</v>
      </c>
      <c r="J149" s="17" t="s">
        <v>349</v>
      </c>
      <c r="K149" s="45" t="s">
        <v>251</v>
      </c>
      <c r="L149" s="45"/>
      <c r="M149" s="143" t="s">
        <v>22</v>
      </c>
      <c r="N149" s="45" t="s">
        <v>624</v>
      </c>
    </row>
    <row r="150" spans="2:14" ht="150" hidden="1" x14ac:dyDescent="0.25">
      <c r="B150" s="18">
        <v>146</v>
      </c>
      <c r="C150" s="165">
        <v>45545</v>
      </c>
      <c r="D150" s="45" t="s">
        <v>16</v>
      </c>
      <c r="E150" s="45" t="s">
        <v>641</v>
      </c>
      <c r="F150" s="212" t="s">
        <v>151</v>
      </c>
      <c r="G150" s="45" t="s">
        <v>279</v>
      </c>
      <c r="H150" s="20" t="s">
        <v>417</v>
      </c>
      <c r="I150" s="17" t="s">
        <v>348</v>
      </c>
      <c r="J150" s="17" t="s">
        <v>349</v>
      </c>
      <c r="K150" s="134" t="s">
        <v>151</v>
      </c>
      <c r="L150" s="161"/>
      <c r="M150" s="162" t="s">
        <v>25</v>
      </c>
      <c r="N150" s="200" t="s">
        <v>642</v>
      </c>
    </row>
    <row r="151" spans="2:14" ht="173.25" hidden="1" x14ac:dyDescent="0.25">
      <c r="B151" s="18">
        <v>147</v>
      </c>
      <c r="C151" s="155">
        <v>45550</v>
      </c>
      <c r="D151" s="45" t="s">
        <v>16</v>
      </c>
      <c r="E151" s="45" t="s">
        <v>643</v>
      </c>
      <c r="F151" s="191" t="s">
        <v>451</v>
      </c>
      <c r="G151" s="166" t="s">
        <v>934</v>
      </c>
      <c r="H151" s="20" t="s">
        <v>335</v>
      </c>
      <c r="I151" s="17" t="s">
        <v>348</v>
      </c>
      <c r="J151" s="17" t="s">
        <v>349</v>
      </c>
      <c r="K151" s="45" t="s">
        <v>251</v>
      </c>
      <c r="L151" s="45"/>
      <c r="M151" s="237" t="s">
        <v>22</v>
      </c>
      <c r="N151" s="45"/>
    </row>
    <row r="152" spans="2:14" ht="176.25" customHeight="1" x14ac:dyDescent="0.25">
      <c r="B152" s="18">
        <v>1</v>
      </c>
      <c r="C152" s="155">
        <v>45551</v>
      </c>
      <c r="D152" s="45" t="s">
        <v>16</v>
      </c>
      <c r="E152" s="45" t="s">
        <v>644</v>
      </c>
      <c r="F152" s="20" t="s">
        <v>521</v>
      </c>
      <c r="G152" s="45" t="s">
        <v>645</v>
      </c>
      <c r="H152" s="20" t="s">
        <v>417</v>
      </c>
      <c r="I152" s="17" t="s">
        <v>348</v>
      </c>
      <c r="J152" s="17" t="s">
        <v>349</v>
      </c>
      <c r="K152" s="45" t="s">
        <v>646</v>
      </c>
      <c r="L152" s="45"/>
      <c r="M152" s="126" t="s">
        <v>19</v>
      </c>
      <c r="N152" s="45"/>
    </row>
    <row r="153" spans="2:14" ht="165" hidden="1" x14ac:dyDescent="0.25">
      <c r="B153" s="18">
        <v>149</v>
      </c>
      <c r="C153" s="155">
        <v>45554</v>
      </c>
      <c r="D153" s="45" t="s">
        <v>16</v>
      </c>
      <c r="E153" s="45" t="s">
        <v>647</v>
      </c>
      <c r="F153" s="191" t="s">
        <v>451</v>
      </c>
      <c r="G153" s="45" t="s">
        <v>286</v>
      </c>
      <c r="H153" s="20" t="s">
        <v>417</v>
      </c>
      <c r="I153" s="17" t="s">
        <v>348</v>
      </c>
      <c r="J153" s="17" t="s">
        <v>349</v>
      </c>
      <c r="K153" s="45" t="s">
        <v>251</v>
      </c>
      <c r="L153" s="45"/>
      <c r="M153" s="237" t="s">
        <v>22</v>
      </c>
      <c r="N153" s="45"/>
    </row>
    <row r="154" spans="2:14" ht="195" x14ac:dyDescent="0.25">
      <c r="B154" s="18">
        <v>1</v>
      </c>
      <c r="C154" s="155">
        <v>45555</v>
      </c>
      <c r="D154" s="45" t="s">
        <v>16</v>
      </c>
      <c r="E154" s="45" t="s">
        <v>648</v>
      </c>
      <c r="F154" s="20" t="s">
        <v>521</v>
      </c>
      <c r="G154" s="45" t="s">
        <v>297</v>
      </c>
      <c r="H154" s="20" t="s">
        <v>335</v>
      </c>
      <c r="I154" s="17" t="s">
        <v>348</v>
      </c>
      <c r="J154" s="17" t="s">
        <v>349</v>
      </c>
      <c r="K154" s="45" t="s">
        <v>649</v>
      </c>
      <c r="L154" s="45"/>
      <c r="M154" s="133" t="s">
        <v>114</v>
      </c>
      <c r="N154" s="45"/>
    </row>
    <row r="155" spans="2:14" ht="47.25" x14ac:dyDescent="0.25">
      <c r="B155" s="18">
        <v>1</v>
      </c>
      <c r="C155" s="155">
        <v>45555</v>
      </c>
      <c r="D155" s="45" t="s">
        <v>16</v>
      </c>
      <c r="E155" s="45" t="s">
        <v>650</v>
      </c>
      <c r="F155" s="20" t="s">
        <v>521</v>
      </c>
      <c r="G155" s="166" t="s">
        <v>299</v>
      </c>
      <c r="H155" s="20" t="s">
        <v>417</v>
      </c>
      <c r="I155" s="17" t="s">
        <v>348</v>
      </c>
      <c r="J155" s="17" t="s">
        <v>349</v>
      </c>
      <c r="K155" s="45" t="s">
        <v>651</v>
      </c>
      <c r="L155" s="45"/>
      <c r="M155" s="143" t="s">
        <v>22</v>
      </c>
      <c r="N155" s="45"/>
    </row>
    <row r="156" spans="2:14" ht="63" x14ac:dyDescent="0.25">
      <c r="B156" s="18">
        <v>1</v>
      </c>
      <c r="C156" s="155">
        <v>45555</v>
      </c>
      <c r="D156" s="127" t="s">
        <v>287</v>
      </c>
      <c r="E156" s="45" t="s">
        <v>652</v>
      </c>
      <c r="F156" s="20" t="s">
        <v>521</v>
      </c>
      <c r="G156" s="166" t="s">
        <v>288</v>
      </c>
      <c r="H156" s="50" t="s">
        <v>335</v>
      </c>
      <c r="I156" s="17" t="s">
        <v>348</v>
      </c>
      <c r="J156" s="17" t="s">
        <v>349</v>
      </c>
      <c r="K156" s="166" t="s">
        <v>289</v>
      </c>
      <c r="L156" s="50"/>
      <c r="M156" s="143" t="s">
        <v>22</v>
      </c>
      <c r="N156" s="50"/>
    </row>
    <row r="157" spans="2:14" ht="63" x14ac:dyDescent="0.25">
      <c r="B157" s="18">
        <v>1</v>
      </c>
      <c r="C157" s="155">
        <v>45555</v>
      </c>
      <c r="D157" s="127" t="s">
        <v>287</v>
      </c>
      <c r="E157" s="45" t="s">
        <v>653</v>
      </c>
      <c r="F157" s="20" t="s">
        <v>521</v>
      </c>
      <c r="G157" s="166" t="s">
        <v>290</v>
      </c>
      <c r="H157" s="50" t="s">
        <v>335</v>
      </c>
      <c r="I157" s="17" t="s">
        <v>348</v>
      </c>
      <c r="J157" s="17" t="s">
        <v>349</v>
      </c>
      <c r="K157" s="127" t="s">
        <v>209</v>
      </c>
      <c r="L157" s="50"/>
      <c r="M157" s="143" t="s">
        <v>22</v>
      </c>
      <c r="N157" s="51" t="s">
        <v>654</v>
      </c>
    </row>
    <row r="158" spans="2:14" ht="63" x14ac:dyDescent="0.25">
      <c r="B158" s="18">
        <v>1</v>
      </c>
      <c r="C158" s="155">
        <v>45555</v>
      </c>
      <c r="D158" s="127" t="s">
        <v>287</v>
      </c>
      <c r="E158" s="45" t="s">
        <v>655</v>
      </c>
      <c r="F158" s="20" t="s">
        <v>521</v>
      </c>
      <c r="G158" s="166" t="s">
        <v>291</v>
      </c>
      <c r="H158" s="50" t="s">
        <v>335</v>
      </c>
      <c r="I158" s="17" t="s">
        <v>348</v>
      </c>
      <c r="J158" s="17" t="s">
        <v>349</v>
      </c>
      <c r="K158" s="127" t="s">
        <v>292</v>
      </c>
      <c r="L158" s="50"/>
      <c r="M158" s="238" t="s">
        <v>22</v>
      </c>
      <c r="N158" s="51" t="s">
        <v>654</v>
      </c>
    </row>
    <row r="159" spans="2:14" ht="63" x14ac:dyDescent="0.25">
      <c r="B159" s="18">
        <v>1</v>
      </c>
      <c r="C159" s="155">
        <v>45555</v>
      </c>
      <c r="D159" s="127" t="s">
        <v>287</v>
      </c>
      <c r="E159" s="45" t="s">
        <v>656</v>
      </c>
      <c r="F159" s="20" t="s">
        <v>521</v>
      </c>
      <c r="G159" s="166" t="s">
        <v>293</v>
      </c>
      <c r="H159" s="50" t="s">
        <v>335</v>
      </c>
      <c r="I159" s="17" t="s">
        <v>348</v>
      </c>
      <c r="J159" s="17" t="s">
        <v>349</v>
      </c>
      <c r="K159" s="127" t="s">
        <v>294</v>
      </c>
      <c r="L159" s="50"/>
      <c r="M159" s="237" t="s">
        <v>22</v>
      </c>
      <c r="N159" s="51" t="s">
        <v>654</v>
      </c>
    </row>
    <row r="160" spans="2:14" ht="94.5" x14ac:dyDescent="0.25">
      <c r="B160" s="18">
        <v>1</v>
      </c>
      <c r="C160" s="155">
        <v>45555</v>
      </c>
      <c r="D160" s="127" t="s">
        <v>287</v>
      </c>
      <c r="E160" s="45" t="s">
        <v>657</v>
      </c>
      <c r="F160" s="20" t="s">
        <v>521</v>
      </c>
      <c r="G160" s="166" t="s">
        <v>295</v>
      </c>
      <c r="H160" s="50" t="s">
        <v>1086</v>
      </c>
      <c r="I160" s="17" t="s">
        <v>348</v>
      </c>
      <c r="J160" s="17" t="s">
        <v>349</v>
      </c>
      <c r="K160" s="127" t="s">
        <v>20</v>
      </c>
      <c r="L160" s="50"/>
      <c r="M160" s="237" t="s">
        <v>22</v>
      </c>
      <c r="N160" s="51" t="s">
        <v>654</v>
      </c>
    </row>
    <row r="161" spans="2:14" ht="63" x14ac:dyDescent="0.25">
      <c r="B161" s="18">
        <v>1</v>
      </c>
      <c r="C161" s="155">
        <v>45555</v>
      </c>
      <c r="D161" s="127" t="s">
        <v>287</v>
      </c>
      <c r="E161" s="45" t="s">
        <v>658</v>
      </c>
      <c r="F161" s="20" t="s">
        <v>490</v>
      </c>
      <c r="G161" s="166" t="s">
        <v>296</v>
      </c>
      <c r="H161" s="50" t="s">
        <v>335</v>
      </c>
      <c r="I161" s="17" t="s">
        <v>348</v>
      </c>
      <c r="J161" s="17" t="s">
        <v>349</v>
      </c>
      <c r="K161" s="127" t="s">
        <v>20</v>
      </c>
      <c r="L161" s="50"/>
      <c r="M161" s="237" t="s">
        <v>22</v>
      </c>
      <c r="N161" s="51" t="s">
        <v>654</v>
      </c>
    </row>
    <row r="162" spans="2:14" ht="157.5" hidden="1" x14ac:dyDescent="0.25">
      <c r="B162" s="18">
        <v>158</v>
      </c>
      <c r="C162" s="165">
        <v>45557</v>
      </c>
      <c r="D162" s="35" t="s">
        <v>16</v>
      </c>
      <c r="E162" s="45" t="s">
        <v>659</v>
      </c>
      <c r="F162" s="20" t="s">
        <v>660</v>
      </c>
      <c r="G162" s="166" t="s">
        <v>300</v>
      </c>
      <c r="H162" s="17" t="s">
        <v>417</v>
      </c>
      <c r="I162" s="17" t="s">
        <v>348</v>
      </c>
      <c r="J162" s="17" t="s">
        <v>349</v>
      </c>
      <c r="K162" s="47" t="s">
        <v>20</v>
      </c>
      <c r="L162" s="47"/>
      <c r="M162" s="237" t="s">
        <v>22</v>
      </c>
      <c r="N162" s="47" t="s">
        <v>661</v>
      </c>
    </row>
    <row r="163" spans="2:14" ht="150" hidden="1" x14ac:dyDescent="0.25">
      <c r="B163" s="18">
        <v>159</v>
      </c>
      <c r="C163" s="165">
        <v>45558</v>
      </c>
      <c r="D163" s="45" t="s">
        <v>301</v>
      </c>
      <c r="E163" s="45" t="s">
        <v>872</v>
      </c>
      <c r="F163" s="191" t="s">
        <v>451</v>
      </c>
      <c r="G163" s="45" t="s">
        <v>302</v>
      </c>
      <c r="H163" s="20" t="s">
        <v>335</v>
      </c>
      <c r="I163" s="17" t="s">
        <v>348</v>
      </c>
      <c r="J163" s="17" t="s">
        <v>349</v>
      </c>
      <c r="K163" s="45" t="s">
        <v>251</v>
      </c>
      <c r="L163" s="45"/>
      <c r="M163" s="133" t="s">
        <v>1093</v>
      </c>
      <c r="N163" s="47" t="s">
        <v>661</v>
      </c>
    </row>
    <row r="164" spans="2:14" ht="42.75" customHeight="1" x14ac:dyDescent="0.25">
      <c r="B164" s="18">
        <v>1</v>
      </c>
      <c r="C164" s="199">
        <v>45561</v>
      </c>
      <c r="D164" s="127" t="s">
        <v>851</v>
      </c>
      <c r="E164" s="45" t="s">
        <v>864</v>
      </c>
      <c r="F164" s="20" t="s">
        <v>521</v>
      </c>
      <c r="G164" s="221" t="s">
        <v>850</v>
      </c>
      <c r="H164" s="20" t="s">
        <v>335</v>
      </c>
      <c r="I164" s="17" t="s">
        <v>348</v>
      </c>
      <c r="J164" s="17" t="s">
        <v>349</v>
      </c>
      <c r="K164" s="166" t="s">
        <v>859</v>
      </c>
      <c r="L164" s="50"/>
      <c r="M164" s="143" t="s">
        <v>22</v>
      </c>
      <c r="N164" s="166"/>
    </row>
    <row r="165" spans="2:14" ht="47.25" x14ac:dyDescent="0.25">
      <c r="B165" s="18">
        <v>1</v>
      </c>
      <c r="C165" s="199">
        <v>45561</v>
      </c>
      <c r="D165" s="127" t="s">
        <v>851</v>
      </c>
      <c r="E165" s="45" t="s">
        <v>865</v>
      </c>
      <c r="F165" s="20" t="s">
        <v>873</v>
      </c>
      <c r="G165" s="150" t="s">
        <v>857</v>
      </c>
      <c r="H165" s="20" t="s">
        <v>417</v>
      </c>
      <c r="I165" s="17" t="s">
        <v>348</v>
      </c>
      <c r="J165" s="17" t="s">
        <v>349</v>
      </c>
      <c r="K165" s="166" t="s">
        <v>860</v>
      </c>
      <c r="L165" s="50"/>
      <c r="M165" s="143" t="s">
        <v>22</v>
      </c>
      <c r="N165" s="166" t="s">
        <v>1095</v>
      </c>
    </row>
    <row r="166" spans="2:14" ht="31.5" x14ac:dyDescent="0.25">
      <c r="B166" s="18">
        <v>1</v>
      </c>
      <c r="C166" s="199">
        <v>45561</v>
      </c>
      <c r="D166" s="127" t="s">
        <v>851</v>
      </c>
      <c r="E166" s="45" t="s">
        <v>866</v>
      </c>
      <c r="F166" s="20" t="s">
        <v>873</v>
      </c>
      <c r="G166" s="166" t="s">
        <v>852</v>
      </c>
      <c r="H166" s="20" t="s">
        <v>335</v>
      </c>
      <c r="I166" s="17" t="s">
        <v>348</v>
      </c>
      <c r="J166" s="17" t="s">
        <v>349</v>
      </c>
      <c r="K166" s="166" t="s">
        <v>860</v>
      </c>
      <c r="L166" s="50"/>
      <c r="M166" s="143" t="s">
        <v>22</v>
      </c>
      <c r="N166" s="166"/>
    </row>
    <row r="167" spans="2:14" ht="30" customHeight="1" x14ac:dyDescent="0.25">
      <c r="B167" s="18">
        <v>1</v>
      </c>
      <c r="C167" s="199">
        <v>45561</v>
      </c>
      <c r="D167" s="127" t="s">
        <v>851</v>
      </c>
      <c r="E167" s="45" t="s">
        <v>867</v>
      </c>
      <c r="F167" s="20" t="s">
        <v>873</v>
      </c>
      <c r="G167" s="166" t="s">
        <v>853</v>
      </c>
      <c r="H167" s="20" t="s">
        <v>335</v>
      </c>
      <c r="I167" s="17" t="s">
        <v>348</v>
      </c>
      <c r="J167" s="17" t="s">
        <v>349</v>
      </c>
      <c r="K167" s="166" t="s">
        <v>860</v>
      </c>
      <c r="L167" s="50"/>
      <c r="M167" s="143" t="s">
        <v>22</v>
      </c>
      <c r="N167" s="166"/>
    </row>
    <row r="168" spans="2:14" ht="31.5" x14ac:dyDescent="0.25">
      <c r="B168" s="18">
        <v>1</v>
      </c>
      <c r="C168" s="199">
        <v>45561</v>
      </c>
      <c r="D168" s="127" t="s">
        <v>851</v>
      </c>
      <c r="E168" s="45" t="s">
        <v>868</v>
      </c>
      <c r="F168" s="20" t="s">
        <v>873</v>
      </c>
      <c r="G168" s="166" t="s">
        <v>854</v>
      </c>
      <c r="H168" s="20" t="s">
        <v>335</v>
      </c>
      <c r="I168" s="17" t="s">
        <v>348</v>
      </c>
      <c r="J168" s="17" t="s">
        <v>349</v>
      </c>
      <c r="K168" s="166" t="s">
        <v>860</v>
      </c>
      <c r="L168" s="50"/>
      <c r="M168" s="143" t="s">
        <v>22</v>
      </c>
      <c r="N168" s="166" t="s">
        <v>1095</v>
      </c>
    </row>
    <row r="169" spans="2:14" ht="60" x14ac:dyDescent="0.25">
      <c r="B169" s="18">
        <v>1</v>
      </c>
      <c r="C169" s="199">
        <v>45561</v>
      </c>
      <c r="D169" s="127" t="s">
        <v>851</v>
      </c>
      <c r="E169" s="45" t="s">
        <v>869</v>
      </c>
      <c r="F169" s="20" t="s">
        <v>490</v>
      </c>
      <c r="G169" s="166" t="s">
        <v>856</v>
      </c>
      <c r="H169" s="20" t="s">
        <v>417</v>
      </c>
      <c r="I169" s="17" t="s">
        <v>348</v>
      </c>
      <c r="J169" s="17" t="s">
        <v>349</v>
      </c>
      <c r="K169" s="127" t="s">
        <v>237</v>
      </c>
      <c r="L169" s="50"/>
      <c r="M169" s="133" t="s">
        <v>114</v>
      </c>
      <c r="N169" s="127"/>
    </row>
    <row r="170" spans="2:14" ht="63" x14ac:dyDescent="0.25">
      <c r="B170" s="18">
        <v>1</v>
      </c>
      <c r="C170" s="199">
        <v>45561</v>
      </c>
      <c r="D170" s="127" t="s">
        <v>851</v>
      </c>
      <c r="E170" s="45" t="s">
        <v>870</v>
      </c>
      <c r="F170" s="20" t="s">
        <v>521</v>
      </c>
      <c r="G170" s="166" t="s">
        <v>855</v>
      </c>
      <c r="H170" s="20" t="s">
        <v>335</v>
      </c>
      <c r="I170" s="17" t="s">
        <v>348</v>
      </c>
      <c r="J170" s="17" t="s">
        <v>349</v>
      </c>
      <c r="K170" s="127" t="s">
        <v>861</v>
      </c>
      <c r="L170" s="50"/>
      <c r="M170" s="237" t="s">
        <v>22</v>
      </c>
      <c r="N170" s="127"/>
    </row>
    <row r="171" spans="2:14" ht="30" x14ac:dyDescent="0.25">
      <c r="B171" s="18">
        <v>1</v>
      </c>
      <c r="C171" s="199">
        <v>45561</v>
      </c>
      <c r="D171" s="127" t="s">
        <v>851</v>
      </c>
      <c r="E171" s="45" t="s">
        <v>871</v>
      </c>
      <c r="F171" s="20" t="s">
        <v>521</v>
      </c>
      <c r="G171" s="166" t="s">
        <v>858</v>
      </c>
      <c r="H171" s="20" t="s">
        <v>417</v>
      </c>
      <c r="I171" s="17" t="s">
        <v>348</v>
      </c>
      <c r="J171" s="17" t="s">
        <v>349</v>
      </c>
      <c r="K171" s="127" t="s">
        <v>862</v>
      </c>
      <c r="L171" s="50"/>
      <c r="M171" s="222" t="s">
        <v>22</v>
      </c>
      <c r="N171" s="127"/>
    </row>
    <row r="172" spans="2:14" ht="208.5" hidden="1" customHeight="1" x14ac:dyDescent="0.25">
      <c r="B172" s="18">
        <v>168</v>
      </c>
      <c r="C172" s="165">
        <v>45572</v>
      </c>
      <c r="D172" s="50" t="s">
        <v>16</v>
      </c>
      <c r="E172" s="45" t="s">
        <v>875</v>
      </c>
      <c r="F172" s="20" t="s">
        <v>876</v>
      </c>
      <c r="G172" s="166" t="s">
        <v>874</v>
      </c>
      <c r="H172" s="17" t="s">
        <v>335</v>
      </c>
      <c r="I172" s="17" t="s">
        <v>348</v>
      </c>
      <c r="J172" s="17" t="s">
        <v>349</v>
      </c>
      <c r="K172" s="127" t="s">
        <v>861</v>
      </c>
      <c r="L172" s="50"/>
      <c r="M172" s="133" t="s">
        <v>1094</v>
      </c>
      <c r="N172" s="127"/>
    </row>
    <row r="173" spans="2:14" ht="94.5" x14ac:dyDescent="0.25">
      <c r="B173" s="18">
        <v>1</v>
      </c>
      <c r="C173" s="165">
        <v>45572</v>
      </c>
      <c r="D173" s="50" t="s">
        <v>16</v>
      </c>
      <c r="E173" s="45" t="s">
        <v>880</v>
      </c>
      <c r="F173" s="20" t="s">
        <v>521</v>
      </c>
      <c r="G173" s="166" t="s">
        <v>877</v>
      </c>
      <c r="H173" s="17" t="s">
        <v>335</v>
      </c>
      <c r="I173" s="17" t="s">
        <v>348</v>
      </c>
      <c r="J173" s="17" t="s">
        <v>349</v>
      </c>
      <c r="K173" s="51" t="s">
        <v>292</v>
      </c>
      <c r="L173" s="50"/>
      <c r="M173" s="133" t="s">
        <v>114</v>
      </c>
      <c r="N173" s="127"/>
    </row>
    <row r="174" spans="2:14" ht="330.75" hidden="1" x14ac:dyDescent="0.25">
      <c r="B174" s="18">
        <v>170</v>
      </c>
      <c r="C174" s="165">
        <v>45572</v>
      </c>
      <c r="D174" s="50" t="s">
        <v>16</v>
      </c>
      <c r="E174" s="45" t="s">
        <v>924</v>
      </c>
      <c r="F174" s="164" t="s">
        <v>151</v>
      </c>
      <c r="G174" s="166" t="s">
        <v>881</v>
      </c>
      <c r="H174" s="17" t="s">
        <v>417</v>
      </c>
      <c r="I174" s="17" t="s">
        <v>348</v>
      </c>
      <c r="J174" s="17" t="s">
        <v>349</v>
      </c>
      <c r="K174" s="227" t="s">
        <v>895</v>
      </c>
      <c r="L174" s="50"/>
      <c r="M174" s="226" t="s">
        <v>114</v>
      </c>
      <c r="N174" s="127"/>
    </row>
    <row r="175" spans="2:14" ht="120" x14ac:dyDescent="0.25">
      <c r="B175" s="18">
        <v>1</v>
      </c>
      <c r="C175" s="50" t="s">
        <v>903</v>
      </c>
      <c r="D175" s="50" t="s">
        <v>16</v>
      </c>
      <c r="E175" s="45" t="s">
        <v>925</v>
      </c>
      <c r="F175" s="44" t="s">
        <v>467</v>
      </c>
      <c r="G175" s="51" t="s">
        <v>912</v>
      </c>
      <c r="H175" s="17" t="s">
        <v>335</v>
      </c>
      <c r="I175" s="17" t="s">
        <v>348</v>
      </c>
      <c r="J175" s="17" t="s">
        <v>349</v>
      </c>
      <c r="K175" s="51" t="s">
        <v>140</v>
      </c>
      <c r="L175" s="50"/>
      <c r="M175" s="133" t="s">
        <v>114</v>
      </c>
      <c r="N175" s="127"/>
    </row>
    <row r="176" spans="2:14" ht="150" x14ac:dyDescent="0.25">
      <c r="B176" s="18">
        <v>1</v>
      </c>
      <c r="C176" s="50" t="s">
        <v>903</v>
      </c>
      <c r="D176" s="50" t="s">
        <v>16</v>
      </c>
      <c r="E176" s="45" t="s">
        <v>926</v>
      </c>
      <c r="F176" s="44" t="s">
        <v>467</v>
      </c>
      <c r="G176" s="51" t="s">
        <v>905</v>
      </c>
      <c r="H176" s="17" t="s">
        <v>335</v>
      </c>
      <c r="I176" s="17" t="s">
        <v>348</v>
      </c>
      <c r="J176" s="17" t="s">
        <v>349</v>
      </c>
      <c r="K176" s="51" t="s">
        <v>140</v>
      </c>
      <c r="L176" s="50"/>
      <c r="M176" s="133" t="s">
        <v>114</v>
      </c>
      <c r="N176" s="127"/>
    </row>
    <row r="177" spans="2:14" ht="240" x14ac:dyDescent="0.25">
      <c r="B177" s="18">
        <v>1</v>
      </c>
      <c r="C177" s="50" t="s">
        <v>903</v>
      </c>
      <c r="D177" s="50" t="s">
        <v>16</v>
      </c>
      <c r="E177" s="45" t="s">
        <v>927</v>
      </c>
      <c r="F177" s="44" t="s">
        <v>467</v>
      </c>
      <c r="G177" s="51" t="s">
        <v>906</v>
      </c>
      <c r="H177" s="17" t="s">
        <v>417</v>
      </c>
      <c r="I177" s="17" t="s">
        <v>348</v>
      </c>
      <c r="J177" s="17" t="s">
        <v>349</v>
      </c>
      <c r="K177" s="127" t="s">
        <v>910</v>
      </c>
      <c r="L177" s="50"/>
      <c r="M177" s="133" t="s">
        <v>114</v>
      </c>
      <c r="N177" s="127"/>
    </row>
    <row r="178" spans="2:14" ht="165" hidden="1" x14ac:dyDescent="0.25">
      <c r="B178" s="18">
        <v>174</v>
      </c>
      <c r="C178" s="228">
        <v>45423</v>
      </c>
      <c r="D178" s="50" t="s">
        <v>16</v>
      </c>
      <c r="E178" s="45" t="s">
        <v>927</v>
      </c>
      <c r="F178" s="164" t="s">
        <v>151</v>
      </c>
      <c r="G178" s="51" t="s">
        <v>907</v>
      </c>
      <c r="H178" s="17" t="s">
        <v>417</v>
      </c>
      <c r="I178" s="17" t="s">
        <v>348</v>
      </c>
      <c r="J178" s="17" t="s">
        <v>349</v>
      </c>
      <c r="K178" s="227" t="s">
        <v>895</v>
      </c>
      <c r="L178" s="50"/>
      <c r="M178" s="229" t="s">
        <v>114</v>
      </c>
      <c r="N178" s="127"/>
    </row>
    <row r="179" spans="2:14" ht="60" x14ac:dyDescent="0.25">
      <c r="B179" s="18">
        <v>1</v>
      </c>
      <c r="C179" s="228">
        <v>45576</v>
      </c>
      <c r="D179" s="50" t="s">
        <v>16</v>
      </c>
      <c r="E179" s="45" t="s">
        <v>928</v>
      </c>
      <c r="F179" s="20" t="s">
        <v>521</v>
      </c>
      <c r="G179" s="51" t="s">
        <v>922</v>
      </c>
      <c r="H179" s="17" t="s">
        <v>335</v>
      </c>
      <c r="I179" s="17" t="s">
        <v>348</v>
      </c>
      <c r="J179" s="17" t="s">
        <v>349</v>
      </c>
      <c r="K179" s="127" t="s">
        <v>292</v>
      </c>
      <c r="L179" s="50"/>
      <c r="M179" s="133" t="s">
        <v>114</v>
      </c>
      <c r="N179" s="127"/>
    </row>
    <row r="180" spans="2:14" ht="122.25" customHeight="1" x14ac:dyDescent="0.25">
      <c r="B180" s="18">
        <v>1</v>
      </c>
      <c r="C180" s="228" t="s">
        <v>930</v>
      </c>
      <c r="D180" s="50" t="s">
        <v>16</v>
      </c>
      <c r="E180" s="45" t="s">
        <v>929</v>
      </c>
      <c r="F180" s="20" t="s">
        <v>521</v>
      </c>
      <c r="G180" s="20" t="s">
        <v>931</v>
      </c>
      <c r="H180" s="17" t="s">
        <v>417</v>
      </c>
      <c r="I180" s="17" t="s">
        <v>348</v>
      </c>
      <c r="J180" s="17" t="s">
        <v>349</v>
      </c>
      <c r="K180" s="127" t="s">
        <v>20</v>
      </c>
      <c r="L180" s="50"/>
      <c r="M180" s="143" t="s">
        <v>19</v>
      </c>
      <c r="N180" s="127"/>
    </row>
    <row r="181" spans="2:14" ht="120" x14ac:dyDescent="0.25">
      <c r="B181" s="18">
        <v>1</v>
      </c>
      <c r="C181" s="50" t="s">
        <v>913</v>
      </c>
      <c r="D181" s="50" t="s">
        <v>16</v>
      </c>
      <c r="E181" s="45" t="s">
        <v>932</v>
      </c>
      <c r="F181" s="20" t="s">
        <v>537</v>
      </c>
      <c r="G181" s="51" t="s">
        <v>914</v>
      </c>
      <c r="H181" s="17" t="s">
        <v>335</v>
      </c>
      <c r="I181" s="17" t="s">
        <v>915</v>
      </c>
      <c r="J181" s="17" t="s">
        <v>349</v>
      </c>
      <c r="K181" s="127" t="s">
        <v>916</v>
      </c>
      <c r="L181" s="50"/>
      <c r="M181" s="133" t="s">
        <v>114</v>
      </c>
      <c r="N181" s="127"/>
    </row>
    <row r="182" spans="2:14" ht="120" x14ac:dyDescent="0.25">
      <c r="B182" s="18">
        <v>1</v>
      </c>
      <c r="C182" s="165">
        <v>45363</v>
      </c>
      <c r="D182" s="50" t="s">
        <v>16</v>
      </c>
      <c r="E182" s="45" t="s">
        <v>1007</v>
      </c>
      <c r="F182" s="20" t="s">
        <v>521</v>
      </c>
      <c r="G182" s="51" t="s">
        <v>942</v>
      </c>
      <c r="H182" s="17" t="s">
        <v>417</v>
      </c>
      <c r="I182" s="17" t="s">
        <v>915</v>
      </c>
      <c r="J182" s="17" t="s">
        <v>349</v>
      </c>
      <c r="K182" s="127" t="s">
        <v>237</v>
      </c>
      <c r="L182" s="50"/>
      <c r="M182" s="240" t="s">
        <v>19</v>
      </c>
      <c r="N182" s="127"/>
    </row>
    <row r="183" spans="2:14" ht="60" x14ac:dyDescent="0.25">
      <c r="B183" s="18">
        <v>1</v>
      </c>
      <c r="C183" s="127" t="s">
        <v>1002</v>
      </c>
      <c r="D183" s="108" t="s">
        <v>949</v>
      </c>
      <c r="E183" s="45" t="s">
        <v>1009</v>
      </c>
      <c r="F183" s="20" t="s">
        <v>490</v>
      </c>
      <c r="G183" s="166" t="s">
        <v>948</v>
      </c>
      <c r="H183" s="17" t="s">
        <v>335</v>
      </c>
      <c r="I183" s="17" t="s">
        <v>915</v>
      </c>
      <c r="J183" s="17" t="s">
        <v>349</v>
      </c>
      <c r="K183" s="232" t="s">
        <v>424</v>
      </c>
      <c r="L183" s="50"/>
      <c r="M183" s="88" t="s">
        <v>19</v>
      </c>
      <c r="N183" s="127"/>
    </row>
    <row r="184" spans="2:14" ht="63" x14ac:dyDescent="0.25">
      <c r="B184" s="18">
        <v>1</v>
      </c>
      <c r="C184" s="127" t="s">
        <v>1002</v>
      </c>
      <c r="D184" s="108" t="s">
        <v>949</v>
      </c>
      <c r="E184" s="45" t="s">
        <v>1010</v>
      </c>
      <c r="F184" s="20" t="s">
        <v>873</v>
      </c>
      <c r="G184" s="166" t="s">
        <v>950</v>
      </c>
      <c r="H184" s="17" t="s">
        <v>335</v>
      </c>
      <c r="I184" s="17" t="s">
        <v>915</v>
      </c>
      <c r="J184" s="17" t="s">
        <v>349</v>
      </c>
      <c r="K184" s="127" t="s">
        <v>59</v>
      </c>
      <c r="L184" s="47"/>
      <c r="M184" s="88" t="s">
        <v>19</v>
      </c>
      <c r="N184" s="47"/>
    </row>
    <row r="185" spans="2:14" ht="63" x14ac:dyDescent="0.25">
      <c r="B185" s="18">
        <v>1</v>
      </c>
      <c r="C185" s="127" t="s">
        <v>1002</v>
      </c>
      <c r="D185" s="108" t="s">
        <v>949</v>
      </c>
      <c r="E185" s="45" t="s">
        <v>1011</v>
      </c>
      <c r="F185" s="20" t="s">
        <v>490</v>
      </c>
      <c r="G185" s="166" t="s">
        <v>951</v>
      </c>
      <c r="H185" s="17" t="s">
        <v>335</v>
      </c>
      <c r="I185" s="17" t="s">
        <v>915</v>
      </c>
      <c r="J185" s="17" t="s">
        <v>349</v>
      </c>
      <c r="K185" s="127" t="s">
        <v>424</v>
      </c>
      <c r="L185" s="47"/>
      <c r="M185" s="88" t="s">
        <v>19</v>
      </c>
      <c r="N185" s="47"/>
    </row>
    <row r="186" spans="2:14" ht="63" x14ac:dyDescent="0.25">
      <c r="B186" s="18">
        <v>1</v>
      </c>
      <c r="C186" s="127" t="s">
        <v>1002</v>
      </c>
      <c r="D186" s="108" t="s">
        <v>949</v>
      </c>
      <c r="E186" s="45" t="s">
        <v>1012</v>
      </c>
      <c r="F186" s="20" t="s">
        <v>490</v>
      </c>
      <c r="G186" s="166" t="s">
        <v>952</v>
      </c>
      <c r="H186" s="17" t="s">
        <v>347</v>
      </c>
      <c r="I186" s="17" t="s">
        <v>915</v>
      </c>
      <c r="J186" s="17" t="s">
        <v>349</v>
      </c>
      <c r="K186" s="127" t="s">
        <v>1008</v>
      </c>
      <c r="L186" s="47"/>
      <c r="M186" s="88" t="s">
        <v>19</v>
      </c>
      <c r="N186" s="47"/>
    </row>
    <row r="187" spans="2:14" ht="60" x14ac:dyDescent="0.25">
      <c r="B187" s="18">
        <v>1</v>
      </c>
      <c r="C187" s="127" t="s">
        <v>1002</v>
      </c>
      <c r="D187" s="108" t="s">
        <v>949</v>
      </c>
      <c r="E187" s="45" t="s">
        <v>1013</v>
      </c>
      <c r="F187" s="20" t="s">
        <v>490</v>
      </c>
      <c r="G187" s="166" t="s">
        <v>954</v>
      </c>
      <c r="H187" s="17" t="s">
        <v>335</v>
      </c>
      <c r="I187" s="17" t="s">
        <v>915</v>
      </c>
      <c r="J187" s="17" t="s">
        <v>349</v>
      </c>
      <c r="K187" s="127" t="s">
        <v>221</v>
      </c>
      <c r="L187" s="47"/>
      <c r="M187" s="222" t="s">
        <v>22</v>
      </c>
      <c r="N187" s="47"/>
    </row>
    <row r="188" spans="2:14" ht="60" x14ac:dyDescent="0.25">
      <c r="B188" s="18">
        <v>1</v>
      </c>
      <c r="C188" s="127" t="s">
        <v>1002</v>
      </c>
      <c r="D188" s="108" t="s">
        <v>949</v>
      </c>
      <c r="E188" s="45" t="s">
        <v>1014</v>
      </c>
      <c r="F188" s="20" t="s">
        <v>490</v>
      </c>
      <c r="G188" s="166" t="s">
        <v>955</v>
      </c>
      <c r="H188" s="17" t="s">
        <v>335</v>
      </c>
      <c r="I188" s="17" t="s">
        <v>915</v>
      </c>
      <c r="J188" s="17" t="s">
        <v>349</v>
      </c>
      <c r="K188" s="127" t="s">
        <v>221</v>
      </c>
      <c r="L188" s="47"/>
      <c r="M188" s="143" t="s">
        <v>22</v>
      </c>
      <c r="N188" s="47"/>
    </row>
    <row r="189" spans="2:14" ht="94.5" x14ac:dyDescent="0.25">
      <c r="B189" s="18">
        <v>1</v>
      </c>
      <c r="C189" s="127" t="s">
        <v>1002</v>
      </c>
      <c r="D189" s="108" t="s">
        <v>949</v>
      </c>
      <c r="E189" s="45" t="s">
        <v>1015</v>
      </c>
      <c r="F189" s="20" t="s">
        <v>490</v>
      </c>
      <c r="G189" s="166" t="s">
        <v>956</v>
      </c>
      <c r="H189" s="17" t="s">
        <v>335</v>
      </c>
      <c r="I189" s="17" t="s">
        <v>915</v>
      </c>
      <c r="J189" s="17" t="s">
        <v>349</v>
      </c>
      <c r="K189" s="127" t="s">
        <v>957</v>
      </c>
      <c r="L189" s="47"/>
      <c r="M189" s="133" t="s">
        <v>832</v>
      </c>
      <c r="N189" s="47"/>
    </row>
    <row r="190" spans="2:14" ht="47.25" x14ac:dyDescent="0.25">
      <c r="B190" s="18">
        <v>1</v>
      </c>
      <c r="C190" s="127" t="s">
        <v>1002</v>
      </c>
      <c r="D190" s="108" t="s">
        <v>949</v>
      </c>
      <c r="E190" s="45" t="s">
        <v>1016</v>
      </c>
      <c r="F190" s="20" t="s">
        <v>521</v>
      </c>
      <c r="G190" s="166" t="s">
        <v>958</v>
      </c>
      <c r="H190" s="17" t="s">
        <v>335</v>
      </c>
      <c r="I190" s="17" t="s">
        <v>915</v>
      </c>
      <c r="J190" s="17" t="s">
        <v>349</v>
      </c>
      <c r="K190" s="127" t="s">
        <v>59</v>
      </c>
      <c r="L190" s="47"/>
      <c r="M190" s="133" t="s">
        <v>114</v>
      </c>
      <c r="N190" s="47"/>
    </row>
    <row r="191" spans="2:14" ht="45" x14ac:dyDescent="0.25">
      <c r="B191" s="18">
        <v>1</v>
      </c>
      <c r="C191" s="127" t="s">
        <v>1002</v>
      </c>
      <c r="D191" s="108" t="s">
        <v>949</v>
      </c>
      <c r="E191" s="45" t="s">
        <v>1017</v>
      </c>
      <c r="F191" s="20" t="s">
        <v>873</v>
      </c>
      <c r="G191" s="166" t="s">
        <v>959</v>
      </c>
      <c r="H191" s="17" t="s">
        <v>335</v>
      </c>
      <c r="I191" s="17" t="s">
        <v>915</v>
      </c>
      <c r="J191" s="17" t="s">
        <v>349</v>
      </c>
      <c r="K191" s="127" t="s">
        <v>221</v>
      </c>
      <c r="L191" s="47"/>
      <c r="M191" s="143" t="s">
        <v>22</v>
      </c>
      <c r="N191" s="47"/>
    </row>
    <row r="192" spans="2:14" ht="63" x14ac:dyDescent="0.25">
      <c r="B192" s="18">
        <v>1</v>
      </c>
      <c r="C192" s="127" t="s">
        <v>1002</v>
      </c>
      <c r="D192" s="108" t="s">
        <v>949</v>
      </c>
      <c r="E192" s="45" t="s">
        <v>1018</v>
      </c>
      <c r="F192" s="20" t="s">
        <v>490</v>
      </c>
      <c r="G192" s="166" t="s">
        <v>960</v>
      </c>
      <c r="H192" s="17" t="s">
        <v>335</v>
      </c>
      <c r="I192" s="17" t="s">
        <v>915</v>
      </c>
      <c r="J192" s="17" t="s">
        <v>349</v>
      </c>
      <c r="K192" s="127" t="s">
        <v>961</v>
      </c>
      <c r="L192" s="47"/>
      <c r="M192" s="192" t="s">
        <v>1081</v>
      </c>
      <c r="N192" s="47"/>
    </row>
    <row r="193" spans="2:14" ht="63" x14ac:dyDescent="0.25">
      <c r="B193" s="18">
        <v>1</v>
      </c>
      <c r="C193" s="127" t="s">
        <v>1002</v>
      </c>
      <c r="D193" s="108" t="s">
        <v>949</v>
      </c>
      <c r="E193" s="45" t="s">
        <v>1019</v>
      </c>
      <c r="F193" s="20" t="s">
        <v>490</v>
      </c>
      <c r="G193" s="166" t="s">
        <v>962</v>
      </c>
      <c r="H193" s="17" t="s">
        <v>335</v>
      </c>
      <c r="I193" s="17" t="s">
        <v>915</v>
      </c>
      <c r="J193" s="17" t="s">
        <v>349</v>
      </c>
      <c r="K193" s="127" t="s">
        <v>59</v>
      </c>
      <c r="L193" s="47"/>
      <c r="M193" s="88" t="s">
        <v>19</v>
      </c>
      <c r="N193" s="47"/>
    </row>
    <row r="194" spans="2:14" ht="47.25" x14ac:dyDescent="0.25">
      <c r="B194" s="18">
        <v>1</v>
      </c>
      <c r="C194" s="127" t="s">
        <v>1002</v>
      </c>
      <c r="D194" s="108" t="s">
        <v>949</v>
      </c>
      <c r="E194" s="45" t="s">
        <v>1020</v>
      </c>
      <c r="F194" s="20" t="s">
        <v>521</v>
      </c>
      <c r="G194" s="166" t="s">
        <v>963</v>
      </c>
      <c r="H194" s="17" t="s">
        <v>335</v>
      </c>
      <c r="I194" s="17" t="s">
        <v>915</v>
      </c>
      <c r="J194" s="17" t="s">
        <v>349</v>
      </c>
      <c r="K194" s="127" t="s">
        <v>424</v>
      </c>
      <c r="L194" s="47"/>
      <c r="M194" s="144" t="s">
        <v>1093</v>
      </c>
      <c r="N194" s="47"/>
    </row>
    <row r="195" spans="2:14" ht="45" x14ac:dyDescent="0.25">
      <c r="B195" s="18">
        <v>1</v>
      </c>
      <c r="C195" s="127" t="s">
        <v>1052</v>
      </c>
      <c r="D195" s="108" t="s">
        <v>949</v>
      </c>
      <c r="E195" s="45" t="s">
        <v>1021</v>
      </c>
      <c r="F195" s="20" t="s">
        <v>521</v>
      </c>
      <c r="G195" s="166" t="s">
        <v>1063</v>
      </c>
      <c r="H195" s="17" t="s">
        <v>335</v>
      </c>
      <c r="I195" s="17" t="s">
        <v>915</v>
      </c>
      <c r="J195" s="17" t="s">
        <v>349</v>
      </c>
      <c r="K195" s="127" t="s">
        <v>53</v>
      </c>
      <c r="L195" s="47"/>
      <c r="M195" s="133" t="s">
        <v>114</v>
      </c>
      <c r="N195" s="47"/>
    </row>
    <row r="196" spans="2:14" ht="45" x14ac:dyDescent="0.25">
      <c r="B196" s="18">
        <v>1</v>
      </c>
      <c r="C196" s="127" t="s">
        <v>1053</v>
      </c>
      <c r="D196" s="108" t="s">
        <v>949</v>
      </c>
      <c r="E196" s="45" t="s">
        <v>1022</v>
      </c>
      <c r="F196" s="20" t="s">
        <v>1049</v>
      </c>
      <c r="G196" s="166" t="s">
        <v>1064</v>
      </c>
      <c r="H196" s="17" t="s">
        <v>335</v>
      </c>
      <c r="I196" s="17" t="s">
        <v>915</v>
      </c>
      <c r="J196" s="17" t="s">
        <v>349</v>
      </c>
      <c r="K196" s="127" t="s">
        <v>221</v>
      </c>
      <c r="L196" s="47"/>
      <c r="M196" s="133" t="s">
        <v>114</v>
      </c>
      <c r="N196" s="47"/>
    </row>
    <row r="197" spans="2:14" ht="45" x14ac:dyDescent="0.25">
      <c r="B197" s="18">
        <v>1</v>
      </c>
      <c r="C197" s="127" t="s">
        <v>1054</v>
      </c>
      <c r="D197" s="108" t="s">
        <v>949</v>
      </c>
      <c r="E197" s="45" t="s">
        <v>1023</v>
      </c>
      <c r="F197" s="20" t="s">
        <v>1049</v>
      </c>
      <c r="G197" s="166" t="s">
        <v>1065</v>
      </c>
      <c r="H197" s="17" t="s">
        <v>335</v>
      </c>
      <c r="I197" s="17" t="s">
        <v>915</v>
      </c>
      <c r="J197" s="17" t="s">
        <v>349</v>
      </c>
      <c r="K197" s="127" t="s">
        <v>221</v>
      </c>
      <c r="L197" s="47"/>
      <c r="M197" s="133" t="s">
        <v>114</v>
      </c>
      <c r="N197" s="47"/>
    </row>
    <row r="198" spans="2:14" ht="60" x14ac:dyDescent="0.25">
      <c r="B198" s="18">
        <v>1</v>
      </c>
      <c r="C198" s="127" t="s">
        <v>1055</v>
      </c>
      <c r="D198" s="108" t="s">
        <v>949</v>
      </c>
      <c r="E198" s="45" t="s">
        <v>1056</v>
      </c>
      <c r="F198" s="20" t="s">
        <v>490</v>
      </c>
      <c r="G198" s="166" t="s">
        <v>1066</v>
      </c>
      <c r="H198" s="17" t="s">
        <v>335</v>
      </c>
      <c r="I198" s="17" t="s">
        <v>915</v>
      </c>
      <c r="J198" s="17" t="s">
        <v>349</v>
      </c>
      <c r="K198" s="127" t="s">
        <v>53</v>
      </c>
      <c r="L198" s="47"/>
      <c r="M198" s="133" t="s">
        <v>114</v>
      </c>
      <c r="N198" s="47"/>
    </row>
    <row r="199" spans="2:14" ht="47.25" x14ac:dyDescent="0.25">
      <c r="B199" s="18">
        <v>1</v>
      </c>
      <c r="C199" s="127" t="s">
        <v>1002</v>
      </c>
      <c r="D199" s="108" t="s">
        <v>949</v>
      </c>
      <c r="E199" s="45" t="s">
        <v>1024</v>
      </c>
      <c r="F199" s="20" t="s">
        <v>521</v>
      </c>
      <c r="G199" s="166" t="s">
        <v>1051</v>
      </c>
      <c r="H199" s="17" t="s">
        <v>335</v>
      </c>
      <c r="I199" s="17" t="s">
        <v>915</v>
      </c>
      <c r="J199" s="17" t="s">
        <v>349</v>
      </c>
      <c r="K199" s="127" t="s">
        <v>965</v>
      </c>
      <c r="L199" s="47"/>
      <c r="M199" s="88" t="s">
        <v>19</v>
      </c>
      <c r="N199" s="47"/>
    </row>
    <row r="200" spans="2:14" ht="63" x14ac:dyDescent="0.25">
      <c r="B200" s="18">
        <v>1</v>
      </c>
      <c r="C200" s="127" t="s">
        <v>1003</v>
      </c>
      <c r="D200" s="108" t="s">
        <v>967</v>
      </c>
      <c r="E200" s="45" t="s">
        <v>1025</v>
      </c>
      <c r="F200" s="20" t="s">
        <v>490</v>
      </c>
      <c r="G200" s="166" t="s">
        <v>966</v>
      </c>
      <c r="H200" s="17" t="s">
        <v>335</v>
      </c>
      <c r="I200" s="17" t="s">
        <v>915</v>
      </c>
      <c r="J200" s="17" t="s">
        <v>349</v>
      </c>
      <c r="K200" s="127" t="s">
        <v>221</v>
      </c>
      <c r="L200" s="47"/>
      <c r="M200" s="143" t="s">
        <v>22</v>
      </c>
      <c r="N200" s="47"/>
    </row>
    <row r="201" spans="2:14" ht="60" x14ac:dyDescent="0.25">
      <c r="B201" s="18">
        <v>1</v>
      </c>
      <c r="C201" s="127" t="s">
        <v>1003</v>
      </c>
      <c r="D201" s="108" t="s">
        <v>967</v>
      </c>
      <c r="E201" s="45" t="s">
        <v>1026</v>
      </c>
      <c r="F201" s="20" t="s">
        <v>490</v>
      </c>
      <c r="G201" s="166" t="s">
        <v>954</v>
      </c>
      <c r="H201" s="17" t="s">
        <v>335</v>
      </c>
      <c r="I201" s="17" t="s">
        <v>915</v>
      </c>
      <c r="J201" s="17" t="s">
        <v>349</v>
      </c>
      <c r="K201" s="127" t="s">
        <v>221</v>
      </c>
      <c r="L201" s="47"/>
      <c r="M201" s="143" t="s">
        <v>22</v>
      </c>
      <c r="N201" s="47"/>
    </row>
    <row r="202" spans="2:14" ht="47.25" x14ac:dyDescent="0.25">
      <c r="B202" s="18">
        <v>1</v>
      </c>
      <c r="C202" s="127" t="s">
        <v>1003</v>
      </c>
      <c r="D202" s="108" t="s">
        <v>967</v>
      </c>
      <c r="E202" s="45" t="s">
        <v>1057</v>
      </c>
      <c r="F202" s="20" t="s">
        <v>1049</v>
      </c>
      <c r="G202" s="166" t="s">
        <v>968</v>
      </c>
      <c r="H202" s="17" t="s">
        <v>335</v>
      </c>
      <c r="I202" s="17" t="s">
        <v>915</v>
      </c>
      <c r="J202" s="17" t="s">
        <v>349</v>
      </c>
      <c r="K202" s="127" t="s">
        <v>221</v>
      </c>
      <c r="L202" s="47"/>
      <c r="M202" s="143" t="s">
        <v>22</v>
      </c>
      <c r="N202" s="47"/>
    </row>
    <row r="203" spans="2:14" ht="60" x14ac:dyDescent="0.25">
      <c r="B203" s="18">
        <v>1</v>
      </c>
      <c r="C203" s="127" t="s">
        <v>1003</v>
      </c>
      <c r="D203" s="108" t="s">
        <v>967</v>
      </c>
      <c r="E203" s="45" t="s">
        <v>1027</v>
      </c>
      <c r="F203" s="20" t="s">
        <v>490</v>
      </c>
      <c r="G203" s="166" t="s">
        <v>969</v>
      </c>
      <c r="H203" s="17" t="s">
        <v>335</v>
      </c>
      <c r="I203" s="17" t="s">
        <v>915</v>
      </c>
      <c r="J203" s="17" t="s">
        <v>349</v>
      </c>
      <c r="K203" s="127" t="s">
        <v>59</v>
      </c>
      <c r="L203" s="47"/>
      <c r="M203" s="133" t="s">
        <v>114</v>
      </c>
      <c r="N203" s="47"/>
    </row>
    <row r="204" spans="2:14" ht="47.25" x14ac:dyDescent="0.25">
      <c r="B204" s="18">
        <v>1</v>
      </c>
      <c r="C204" s="127" t="s">
        <v>1003</v>
      </c>
      <c r="D204" s="108" t="s">
        <v>967</v>
      </c>
      <c r="E204" s="45" t="s">
        <v>1028</v>
      </c>
      <c r="F204" s="20" t="s">
        <v>521</v>
      </c>
      <c r="G204" s="166" t="s">
        <v>970</v>
      </c>
      <c r="H204" s="17" t="s">
        <v>335</v>
      </c>
      <c r="I204" s="17" t="s">
        <v>915</v>
      </c>
      <c r="J204" s="17" t="s">
        <v>349</v>
      </c>
      <c r="K204" s="127" t="s">
        <v>59</v>
      </c>
      <c r="L204" s="47"/>
      <c r="M204" s="143" t="s">
        <v>22</v>
      </c>
      <c r="N204" s="47"/>
    </row>
    <row r="205" spans="2:14" ht="47.25" x14ac:dyDescent="0.25">
      <c r="B205" s="18">
        <v>1</v>
      </c>
      <c r="C205" s="127" t="s">
        <v>1003</v>
      </c>
      <c r="D205" s="108" t="s">
        <v>967</v>
      </c>
      <c r="E205" s="45" t="s">
        <v>1029</v>
      </c>
      <c r="F205" s="20" t="s">
        <v>521</v>
      </c>
      <c r="G205" s="166" t="s">
        <v>971</v>
      </c>
      <c r="H205" s="17" t="s">
        <v>335</v>
      </c>
      <c r="I205" s="17" t="s">
        <v>915</v>
      </c>
      <c r="J205" s="17" t="s">
        <v>349</v>
      </c>
      <c r="K205" s="127" t="s">
        <v>972</v>
      </c>
      <c r="L205" s="47"/>
      <c r="M205" s="143" t="s">
        <v>22</v>
      </c>
      <c r="N205" s="47"/>
    </row>
    <row r="206" spans="2:14" ht="60" x14ac:dyDescent="0.25">
      <c r="B206" s="18">
        <v>1</v>
      </c>
      <c r="C206" s="127" t="s">
        <v>1003</v>
      </c>
      <c r="D206" s="108" t="s">
        <v>967</v>
      </c>
      <c r="E206" s="45" t="s">
        <v>1030</v>
      </c>
      <c r="F206" s="20" t="s">
        <v>490</v>
      </c>
      <c r="G206" s="166" t="s">
        <v>973</v>
      </c>
      <c r="H206" s="17" t="s">
        <v>335</v>
      </c>
      <c r="I206" s="17" t="s">
        <v>915</v>
      </c>
      <c r="J206" s="17" t="s">
        <v>349</v>
      </c>
      <c r="K206" s="127" t="s">
        <v>974</v>
      </c>
      <c r="L206" s="47"/>
      <c r="M206" s="143" t="s">
        <v>22</v>
      </c>
      <c r="N206" s="47"/>
    </row>
    <row r="207" spans="2:14" ht="63" x14ac:dyDescent="0.25">
      <c r="B207" s="18">
        <v>1</v>
      </c>
      <c r="C207" s="127" t="s">
        <v>1003</v>
      </c>
      <c r="D207" s="108" t="s">
        <v>967</v>
      </c>
      <c r="E207" s="45" t="s">
        <v>1031</v>
      </c>
      <c r="F207" s="20" t="s">
        <v>490</v>
      </c>
      <c r="G207" s="166" t="s">
        <v>975</v>
      </c>
      <c r="H207" s="17" t="s">
        <v>335</v>
      </c>
      <c r="I207" s="17" t="s">
        <v>915</v>
      </c>
      <c r="J207" s="17" t="s">
        <v>349</v>
      </c>
      <c r="K207" s="127" t="s">
        <v>976</v>
      </c>
      <c r="L207" s="47"/>
      <c r="M207" s="143" t="s">
        <v>22</v>
      </c>
      <c r="N207" s="47"/>
    </row>
    <row r="208" spans="2:14" ht="45" x14ac:dyDescent="0.25">
      <c r="B208" s="18">
        <v>1</v>
      </c>
      <c r="C208" s="127" t="s">
        <v>1003</v>
      </c>
      <c r="D208" s="108" t="s">
        <v>967</v>
      </c>
      <c r="E208" s="45" t="s">
        <v>1032</v>
      </c>
      <c r="F208" s="20" t="s">
        <v>537</v>
      </c>
      <c r="G208" s="166" t="s">
        <v>977</v>
      </c>
      <c r="H208" s="17" t="s">
        <v>335</v>
      </c>
      <c r="I208" s="17" t="s">
        <v>915</v>
      </c>
      <c r="J208" s="17" t="s">
        <v>349</v>
      </c>
      <c r="K208" s="127" t="s">
        <v>221</v>
      </c>
      <c r="L208" s="47"/>
      <c r="M208" s="143" t="s">
        <v>22</v>
      </c>
      <c r="N208" s="47"/>
    </row>
    <row r="209" spans="2:14" ht="47.25" x14ac:dyDescent="0.25">
      <c r="B209" s="18">
        <v>1</v>
      </c>
      <c r="C209" s="127" t="s">
        <v>1003</v>
      </c>
      <c r="D209" s="108" t="s">
        <v>967</v>
      </c>
      <c r="E209" s="45" t="s">
        <v>1033</v>
      </c>
      <c r="F209" s="20" t="s">
        <v>521</v>
      </c>
      <c r="G209" s="166" t="s">
        <v>978</v>
      </c>
      <c r="H209" s="17" t="s">
        <v>335</v>
      </c>
      <c r="I209" s="17" t="s">
        <v>915</v>
      </c>
      <c r="J209" s="17" t="s">
        <v>349</v>
      </c>
      <c r="K209" s="127" t="s">
        <v>59</v>
      </c>
      <c r="L209" s="47"/>
      <c r="M209" s="133" t="s">
        <v>114</v>
      </c>
      <c r="N209" s="47"/>
    </row>
    <row r="210" spans="2:14" ht="63" x14ac:dyDescent="0.25">
      <c r="B210" s="18">
        <v>1</v>
      </c>
      <c r="C210" s="127" t="s">
        <v>1000</v>
      </c>
      <c r="D210" s="108" t="s">
        <v>104</v>
      </c>
      <c r="E210" s="45" t="s">
        <v>1034</v>
      </c>
      <c r="F210" s="20" t="s">
        <v>490</v>
      </c>
      <c r="G210" s="166" t="s">
        <v>979</v>
      </c>
      <c r="H210" s="17" t="s">
        <v>335</v>
      </c>
      <c r="I210" s="17" t="s">
        <v>915</v>
      </c>
      <c r="J210" s="17" t="s">
        <v>349</v>
      </c>
      <c r="K210" s="127" t="s">
        <v>53</v>
      </c>
      <c r="L210" s="47"/>
      <c r="M210" s="133" t="s">
        <v>114</v>
      </c>
      <c r="N210" s="47"/>
    </row>
    <row r="211" spans="2:14" ht="63" x14ac:dyDescent="0.25">
      <c r="B211" s="18">
        <v>1</v>
      </c>
      <c r="C211" s="127" t="s">
        <v>1000</v>
      </c>
      <c r="D211" s="108" t="s">
        <v>104</v>
      </c>
      <c r="E211" s="45" t="s">
        <v>1035</v>
      </c>
      <c r="F211" s="20" t="s">
        <v>490</v>
      </c>
      <c r="G211" s="166" t="s">
        <v>952</v>
      </c>
      <c r="H211" s="17" t="s">
        <v>347</v>
      </c>
      <c r="I211" s="17" t="s">
        <v>915</v>
      </c>
      <c r="J211" s="17" t="s">
        <v>349</v>
      </c>
      <c r="K211" s="127" t="s">
        <v>1008</v>
      </c>
      <c r="L211" s="47"/>
      <c r="M211" s="133" t="s">
        <v>114</v>
      </c>
      <c r="N211" s="47"/>
    </row>
    <row r="212" spans="2:14" ht="63" x14ac:dyDescent="0.25">
      <c r="B212" s="18">
        <v>1</v>
      </c>
      <c r="C212" s="127" t="s">
        <v>1000</v>
      </c>
      <c r="D212" s="108" t="s">
        <v>104</v>
      </c>
      <c r="E212" s="45" t="s">
        <v>1036</v>
      </c>
      <c r="F212" s="20" t="s">
        <v>490</v>
      </c>
      <c r="G212" s="166" t="s">
        <v>981</v>
      </c>
      <c r="H212" s="17" t="s">
        <v>335</v>
      </c>
      <c r="I212" s="17" t="s">
        <v>915</v>
      </c>
      <c r="J212" s="17" t="s">
        <v>349</v>
      </c>
      <c r="K212" s="127" t="s">
        <v>980</v>
      </c>
      <c r="L212" s="47"/>
      <c r="M212" s="133" t="s">
        <v>114</v>
      </c>
      <c r="N212" s="47"/>
    </row>
    <row r="213" spans="2:14" ht="60" x14ac:dyDescent="0.25">
      <c r="B213" s="18">
        <v>1</v>
      </c>
      <c r="C213" s="127" t="s">
        <v>1000</v>
      </c>
      <c r="D213" s="108" t="s">
        <v>104</v>
      </c>
      <c r="E213" s="45" t="s">
        <v>1037</v>
      </c>
      <c r="F213" s="20" t="s">
        <v>490</v>
      </c>
      <c r="G213" s="166" t="s">
        <v>954</v>
      </c>
      <c r="H213" s="17" t="s">
        <v>335</v>
      </c>
      <c r="I213" s="17" t="s">
        <v>915</v>
      </c>
      <c r="J213" s="17" t="s">
        <v>349</v>
      </c>
      <c r="K213" s="127" t="s">
        <v>221</v>
      </c>
      <c r="L213" s="47"/>
      <c r="M213" s="143" t="s">
        <v>22</v>
      </c>
      <c r="N213" s="47"/>
    </row>
    <row r="214" spans="2:14" ht="63" x14ac:dyDescent="0.25">
      <c r="B214" s="18">
        <v>1</v>
      </c>
      <c r="C214" s="127" t="s">
        <v>1000</v>
      </c>
      <c r="D214" s="108" t="s">
        <v>104</v>
      </c>
      <c r="E214" s="45" t="s">
        <v>1038</v>
      </c>
      <c r="F214" s="20" t="s">
        <v>490</v>
      </c>
      <c r="G214" s="166" t="s">
        <v>982</v>
      </c>
      <c r="H214" s="17" t="s">
        <v>335</v>
      </c>
      <c r="I214" s="17" t="s">
        <v>915</v>
      </c>
      <c r="J214" s="17" t="s">
        <v>349</v>
      </c>
      <c r="K214" s="127" t="s">
        <v>221</v>
      </c>
      <c r="L214" s="47"/>
      <c r="M214" s="143" t="s">
        <v>22</v>
      </c>
      <c r="N214" s="47"/>
    </row>
    <row r="215" spans="2:14" ht="60" x14ac:dyDescent="0.25">
      <c r="B215" s="18">
        <v>1</v>
      </c>
      <c r="C215" s="127" t="s">
        <v>1000</v>
      </c>
      <c r="D215" s="108" t="s">
        <v>104</v>
      </c>
      <c r="E215" s="45" t="s">
        <v>1039</v>
      </c>
      <c r="F215" s="20" t="s">
        <v>490</v>
      </c>
      <c r="G215" s="166" t="s">
        <v>983</v>
      </c>
      <c r="H215" s="17" t="s">
        <v>335</v>
      </c>
      <c r="I215" s="17" t="s">
        <v>915</v>
      </c>
      <c r="J215" s="17" t="s">
        <v>349</v>
      </c>
      <c r="K215" s="127" t="s">
        <v>221</v>
      </c>
      <c r="L215" s="47"/>
      <c r="M215" s="143" t="s">
        <v>22</v>
      </c>
      <c r="N215" s="47"/>
    </row>
    <row r="216" spans="2:14" ht="60" x14ac:dyDescent="0.25">
      <c r="B216" s="18">
        <v>1</v>
      </c>
      <c r="C216" s="127" t="s">
        <v>1000</v>
      </c>
      <c r="D216" s="108" t="s">
        <v>104</v>
      </c>
      <c r="E216" s="45" t="s">
        <v>1040</v>
      </c>
      <c r="F216" s="20" t="s">
        <v>490</v>
      </c>
      <c r="G216" s="166" t="s">
        <v>984</v>
      </c>
      <c r="H216" s="17" t="s">
        <v>335</v>
      </c>
      <c r="I216" s="17" t="s">
        <v>915</v>
      </c>
      <c r="J216" s="17" t="s">
        <v>349</v>
      </c>
      <c r="K216" s="127" t="s">
        <v>221</v>
      </c>
      <c r="L216" s="47"/>
      <c r="M216" s="143" t="s">
        <v>22</v>
      </c>
      <c r="N216" s="47"/>
    </row>
    <row r="217" spans="2:14" ht="60" x14ac:dyDescent="0.25">
      <c r="B217" s="18">
        <v>1</v>
      </c>
      <c r="C217" s="127" t="s">
        <v>1000</v>
      </c>
      <c r="D217" s="108" t="s">
        <v>104</v>
      </c>
      <c r="E217" s="45" t="s">
        <v>1041</v>
      </c>
      <c r="F217" s="20" t="s">
        <v>490</v>
      </c>
      <c r="G217" s="166" t="s">
        <v>985</v>
      </c>
      <c r="H217" s="17" t="s">
        <v>335</v>
      </c>
      <c r="I217" s="17" t="s">
        <v>915</v>
      </c>
      <c r="J217" s="17" t="s">
        <v>349</v>
      </c>
      <c r="K217" s="127" t="s">
        <v>424</v>
      </c>
      <c r="L217" s="47"/>
      <c r="M217" s="133" t="s">
        <v>114</v>
      </c>
      <c r="N217" s="47"/>
    </row>
    <row r="218" spans="2:14" ht="63" x14ac:dyDescent="0.25">
      <c r="B218" s="18">
        <v>1</v>
      </c>
      <c r="C218" s="127" t="s">
        <v>1000</v>
      </c>
      <c r="D218" s="108" t="s">
        <v>104</v>
      </c>
      <c r="E218" s="45" t="s">
        <v>1042</v>
      </c>
      <c r="F218" s="20" t="s">
        <v>521</v>
      </c>
      <c r="G218" s="166" t="s">
        <v>986</v>
      </c>
      <c r="H218" s="17" t="s">
        <v>335</v>
      </c>
      <c r="I218" s="17" t="s">
        <v>915</v>
      </c>
      <c r="J218" s="17" t="s">
        <v>349</v>
      </c>
      <c r="K218" s="127" t="s">
        <v>424</v>
      </c>
      <c r="L218" s="47"/>
      <c r="M218" s="133" t="s">
        <v>114</v>
      </c>
      <c r="N218" s="47"/>
    </row>
    <row r="219" spans="2:14" ht="110.25" x14ac:dyDescent="0.25">
      <c r="B219" s="18">
        <v>1</v>
      </c>
      <c r="C219" s="127" t="s">
        <v>1000</v>
      </c>
      <c r="D219" s="108" t="s">
        <v>104</v>
      </c>
      <c r="E219" s="45" t="s">
        <v>1043</v>
      </c>
      <c r="F219" s="20" t="s">
        <v>490</v>
      </c>
      <c r="G219" s="166" t="s">
        <v>987</v>
      </c>
      <c r="H219" s="17" t="s">
        <v>335</v>
      </c>
      <c r="I219" s="17" t="s">
        <v>915</v>
      </c>
      <c r="J219" s="17" t="s">
        <v>349</v>
      </c>
      <c r="K219" s="127" t="s">
        <v>59</v>
      </c>
      <c r="L219" s="47"/>
      <c r="M219" s="133" t="s">
        <v>114</v>
      </c>
      <c r="N219" s="47"/>
    </row>
    <row r="220" spans="2:14" ht="60" x14ac:dyDescent="0.25">
      <c r="B220" s="18">
        <v>1</v>
      </c>
      <c r="C220" s="127" t="s">
        <v>1000</v>
      </c>
      <c r="D220" s="108" t="s">
        <v>104</v>
      </c>
      <c r="E220" s="45" t="s">
        <v>1044</v>
      </c>
      <c r="F220" s="20" t="s">
        <v>521</v>
      </c>
      <c r="G220" s="166" t="s">
        <v>988</v>
      </c>
      <c r="H220" s="17" t="s">
        <v>335</v>
      </c>
      <c r="I220" s="17" t="s">
        <v>915</v>
      </c>
      <c r="J220" s="17" t="s">
        <v>349</v>
      </c>
      <c r="K220" s="127" t="s">
        <v>961</v>
      </c>
      <c r="L220" s="47"/>
      <c r="M220" s="143" t="s">
        <v>22</v>
      </c>
      <c r="N220" s="47"/>
    </row>
    <row r="221" spans="2:14" ht="63" x14ac:dyDescent="0.25">
      <c r="B221" s="18">
        <v>1</v>
      </c>
      <c r="C221" s="127" t="s">
        <v>1000</v>
      </c>
      <c r="D221" s="108" t="s">
        <v>104</v>
      </c>
      <c r="E221" s="45" t="s">
        <v>1045</v>
      </c>
      <c r="F221" s="20" t="s">
        <v>490</v>
      </c>
      <c r="G221" s="166" t="s">
        <v>989</v>
      </c>
      <c r="H221" s="17" t="s">
        <v>335</v>
      </c>
      <c r="I221" s="17" t="s">
        <v>915</v>
      </c>
      <c r="J221" s="17" t="s">
        <v>349</v>
      </c>
      <c r="K221" s="127" t="s">
        <v>59</v>
      </c>
      <c r="L221" s="47"/>
      <c r="M221" s="133" t="s">
        <v>114</v>
      </c>
      <c r="N221" s="47"/>
    </row>
    <row r="222" spans="2:14" ht="78.75" x14ac:dyDescent="0.25">
      <c r="B222" s="18">
        <v>1</v>
      </c>
      <c r="C222" s="127" t="s">
        <v>1000</v>
      </c>
      <c r="D222" s="108" t="s">
        <v>104</v>
      </c>
      <c r="E222" s="45" t="s">
        <v>1046</v>
      </c>
      <c r="F222" s="20" t="s">
        <v>490</v>
      </c>
      <c r="G222" s="166" t="s">
        <v>990</v>
      </c>
      <c r="H222" s="17" t="s">
        <v>335</v>
      </c>
      <c r="I222" s="17" t="s">
        <v>915</v>
      </c>
      <c r="J222" s="17" t="s">
        <v>349</v>
      </c>
      <c r="K222" s="127" t="s">
        <v>59</v>
      </c>
      <c r="L222" s="47"/>
      <c r="M222" s="133" t="s">
        <v>114</v>
      </c>
      <c r="N222" s="47"/>
    </row>
    <row r="223" spans="2:14" ht="63" x14ac:dyDescent="0.25">
      <c r="B223" s="18">
        <v>1</v>
      </c>
      <c r="C223" s="127" t="s">
        <v>1000</v>
      </c>
      <c r="D223" s="108" t="s">
        <v>104</v>
      </c>
      <c r="E223" s="45" t="s">
        <v>1047</v>
      </c>
      <c r="F223" s="20" t="s">
        <v>490</v>
      </c>
      <c r="G223" s="166" t="s">
        <v>991</v>
      </c>
      <c r="H223" s="17" t="s">
        <v>335</v>
      </c>
      <c r="I223" s="17" t="s">
        <v>915</v>
      </c>
      <c r="J223" s="17" t="s">
        <v>349</v>
      </c>
      <c r="K223" s="127" t="s">
        <v>59</v>
      </c>
      <c r="L223" s="47"/>
      <c r="M223" s="133" t="s">
        <v>114</v>
      </c>
      <c r="N223" s="47"/>
    </row>
    <row r="224" spans="2:14" ht="63" x14ac:dyDescent="0.25">
      <c r="B224" s="18">
        <v>1</v>
      </c>
      <c r="C224" s="127" t="s">
        <v>1000</v>
      </c>
      <c r="D224" s="108" t="s">
        <v>104</v>
      </c>
      <c r="E224" s="45" t="s">
        <v>1048</v>
      </c>
      <c r="F224" s="20" t="s">
        <v>490</v>
      </c>
      <c r="G224" s="166" t="s">
        <v>992</v>
      </c>
      <c r="H224" s="17" t="s">
        <v>335</v>
      </c>
      <c r="I224" s="17" t="s">
        <v>915</v>
      </c>
      <c r="J224" s="17" t="s">
        <v>349</v>
      </c>
      <c r="K224" s="127" t="s">
        <v>59</v>
      </c>
      <c r="L224" s="47"/>
      <c r="M224" s="133" t="s">
        <v>114</v>
      </c>
      <c r="N224" s="47"/>
    </row>
    <row r="225" spans="2:14" ht="78.75" x14ac:dyDescent="0.25">
      <c r="B225" s="18">
        <v>1</v>
      </c>
      <c r="C225" s="127" t="s">
        <v>1000</v>
      </c>
      <c r="D225" s="108" t="s">
        <v>104</v>
      </c>
      <c r="E225" s="45" t="s">
        <v>1058</v>
      </c>
      <c r="F225" s="20" t="s">
        <v>490</v>
      </c>
      <c r="G225" s="166" t="s">
        <v>993</v>
      </c>
      <c r="H225" s="17" t="s">
        <v>335</v>
      </c>
      <c r="I225" s="17" t="s">
        <v>915</v>
      </c>
      <c r="J225" s="17" t="s">
        <v>349</v>
      </c>
      <c r="K225" s="127" t="s">
        <v>59</v>
      </c>
      <c r="L225" s="47"/>
      <c r="M225" s="240" t="s">
        <v>19</v>
      </c>
      <c r="N225" s="47"/>
    </row>
    <row r="226" spans="2:14" ht="63" x14ac:dyDescent="0.25">
      <c r="B226" s="18">
        <v>1</v>
      </c>
      <c r="C226" s="127" t="s">
        <v>1000</v>
      </c>
      <c r="D226" s="108" t="s">
        <v>104</v>
      </c>
      <c r="E226" s="45" t="s">
        <v>1059</v>
      </c>
      <c r="F226" s="20" t="s">
        <v>490</v>
      </c>
      <c r="G226" s="166" t="s">
        <v>994</v>
      </c>
      <c r="H226" s="17" t="s">
        <v>335</v>
      </c>
      <c r="I226" s="17" t="s">
        <v>915</v>
      </c>
      <c r="J226" s="17" t="s">
        <v>349</v>
      </c>
      <c r="K226" s="127" t="s">
        <v>53</v>
      </c>
      <c r="L226" s="47"/>
      <c r="M226" s="133" t="s">
        <v>114</v>
      </c>
      <c r="N226" s="47"/>
    </row>
    <row r="227" spans="2:14" ht="63" x14ac:dyDescent="0.25">
      <c r="B227" s="18">
        <v>1</v>
      </c>
      <c r="C227" s="127" t="s">
        <v>1000</v>
      </c>
      <c r="D227" s="108" t="s">
        <v>104</v>
      </c>
      <c r="E227" s="45" t="s">
        <v>1060</v>
      </c>
      <c r="F227" s="20" t="s">
        <v>1050</v>
      </c>
      <c r="G227" s="166" t="s">
        <v>995</v>
      </c>
      <c r="H227" s="17" t="s">
        <v>335</v>
      </c>
      <c r="I227" s="17" t="s">
        <v>915</v>
      </c>
      <c r="J227" s="17" t="s">
        <v>349</v>
      </c>
      <c r="K227" s="127" t="s">
        <v>997</v>
      </c>
      <c r="L227" s="47"/>
      <c r="M227" s="133" t="s">
        <v>114</v>
      </c>
      <c r="N227" s="47"/>
    </row>
    <row r="228" spans="2:14" ht="94.5" x14ac:dyDescent="0.25">
      <c r="B228" s="18">
        <v>1</v>
      </c>
      <c r="C228" s="127" t="s">
        <v>1000</v>
      </c>
      <c r="D228" s="108" t="s">
        <v>104</v>
      </c>
      <c r="E228" s="45" t="s">
        <v>1061</v>
      </c>
      <c r="F228" s="20" t="s">
        <v>490</v>
      </c>
      <c r="G228" s="166" t="s">
        <v>996</v>
      </c>
      <c r="H228" s="17" t="s">
        <v>335</v>
      </c>
      <c r="I228" s="17" t="s">
        <v>915</v>
      </c>
      <c r="J228" s="17" t="s">
        <v>349</v>
      </c>
      <c r="K228" s="127" t="s">
        <v>53</v>
      </c>
      <c r="L228" s="47"/>
      <c r="M228" s="133" t="s">
        <v>114</v>
      </c>
      <c r="N228" s="47"/>
    </row>
    <row r="229" spans="2:14" ht="63" x14ac:dyDescent="0.25">
      <c r="B229" s="18">
        <v>1</v>
      </c>
      <c r="C229" s="127" t="s">
        <v>1000</v>
      </c>
      <c r="D229" s="108" t="s">
        <v>104</v>
      </c>
      <c r="E229" s="45" t="s">
        <v>1062</v>
      </c>
      <c r="F229" s="20" t="s">
        <v>521</v>
      </c>
      <c r="G229" s="166" t="s">
        <v>998</v>
      </c>
      <c r="H229" s="17" t="s">
        <v>335</v>
      </c>
      <c r="I229" s="17" t="s">
        <v>915</v>
      </c>
      <c r="J229" s="17" t="s">
        <v>349</v>
      </c>
      <c r="K229" s="127" t="s">
        <v>999</v>
      </c>
      <c r="L229" s="47"/>
      <c r="M229" s="235" t="s">
        <v>22</v>
      </c>
      <c r="N229" s="47"/>
    </row>
    <row r="230" spans="2:14" ht="78.75" x14ac:dyDescent="0.25">
      <c r="B230" s="18">
        <v>1</v>
      </c>
      <c r="C230" s="83">
        <v>45608</v>
      </c>
      <c r="D230" s="130" t="s">
        <v>1071</v>
      </c>
      <c r="E230" s="45" t="s">
        <v>1072</v>
      </c>
      <c r="F230" s="20" t="s">
        <v>490</v>
      </c>
      <c r="G230" s="166" t="s">
        <v>1073</v>
      </c>
      <c r="H230" s="17" t="s">
        <v>335</v>
      </c>
      <c r="I230" s="17" t="s">
        <v>915</v>
      </c>
      <c r="J230" s="17" t="s">
        <v>349</v>
      </c>
      <c r="K230" s="127" t="s">
        <v>53</v>
      </c>
      <c r="L230" s="47"/>
      <c r="M230" s="235" t="s">
        <v>22</v>
      </c>
      <c r="N230" s="47" t="s">
        <v>1074</v>
      </c>
    </row>
    <row r="231" spans="2:14" ht="78.75" x14ac:dyDescent="0.25">
      <c r="B231" s="18">
        <v>1</v>
      </c>
      <c r="C231" s="18" t="s">
        <v>1083</v>
      </c>
      <c r="D231" s="130" t="s">
        <v>1071</v>
      </c>
      <c r="E231" s="45" t="s">
        <v>1084</v>
      </c>
      <c r="F231" s="20" t="s">
        <v>490</v>
      </c>
      <c r="G231" s="166" t="s">
        <v>1085</v>
      </c>
      <c r="H231" s="17" t="s">
        <v>335</v>
      </c>
      <c r="I231" s="17" t="s">
        <v>915</v>
      </c>
      <c r="J231" s="17" t="s">
        <v>349</v>
      </c>
      <c r="K231" s="127" t="s">
        <v>53</v>
      </c>
      <c r="L231" s="47"/>
      <c r="M231" s="133" t="s">
        <v>114</v>
      </c>
      <c r="N231" s="47"/>
    </row>
    <row r="232" spans="2:14" x14ac:dyDescent="0.25">
      <c r="B232" s="50"/>
      <c r="C232" s="18"/>
      <c r="D232" s="17"/>
      <c r="E232" s="50"/>
      <c r="F232" s="20"/>
      <c r="G232" s="50"/>
      <c r="H232" s="50"/>
      <c r="I232" s="17"/>
      <c r="J232" s="50"/>
      <c r="K232" s="47"/>
      <c r="L232" s="47"/>
      <c r="M232" s="50"/>
      <c r="N232" s="47"/>
    </row>
    <row r="235" spans="2:14" x14ac:dyDescent="0.25">
      <c r="G235" s="7" t="s">
        <v>1086</v>
      </c>
    </row>
  </sheetData>
  <autoFilter ref="F4:F231">
    <filterColumn colId="0">
      <filters>
        <filter val="organization facility"/>
        <filter val="Organizational- Documentation, Processes and Procedures"/>
        <filter val="Organizational- Facilities"/>
        <filter val="Organizational facility"/>
        <filter val="Organizational management"/>
        <filter val="Organizational- management"/>
        <filter val="Organizational management, Training"/>
        <filter val="Organizational-Documentation, Processes and Procedures"/>
        <filter val="Organizational-facility"/>
        <filter val="Organizational-management"/>
      </filters>
    </filterColumn>
  </autoFilter>
  <mergeCells count="13">
    <mergeCell ref="K1:N2"/>
    <mergeCell ref="K3:K4"/>
    <mergeCell ref="L3:L4"/>
    <mergeCell ref="M3:M4"/>
    <mergeCell ref="N3:N4"/>
    <mergeCell ref="H3:H4"/>
    <mergeCell ref="I3:J3"/>
    <mergeCell ref="B1:F2"/>
    <mergeCell ref="B3:B4"/>
    <mergeCell ref="C3:C4"/>
    <mergeCell ref="G3:G4"/>
    <mergeCell ref="G1:J2"/>
    <mergeCell ref="D3:F3"/>
  </mergeCells>
  <pageMargins left="0" right="0" top="0" bottom="0" header="0.3" footer="0.3"/>
  <pageSetup scale="6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83"/>
  <sheetViews>
    <sheetView topLeftCell="A4" zoomScale="97" zoomScaleNormal="97" workbookViewId="0">
      <selection activeCell="H12" sqref="H12:H14"/>
    </sheetView>
  </sheetViews>
  <sheetFormatPr defaultRowHeight="15.75" x14ac:dyDescent="0.25"/>
  <cols>
    <col min="1" max="1" width="3" customWidth="1"/>
    <col min="2" max="2" width="5.5703125" style="13" customWidth="1"/>
    <col min="3" max="3" width="12.140625" style="13" customWidth="1"/>
    <col min="4" max="4" width="13.5703125" style="13" bestFit="1" customWidth="1"/>
    <col min="5" max="5" width="12.5703125" style="13" bestFit="1" customWidth="1"/>
    <col min="6" max="6" width="17.7109375" style="13" customWidth="1"/>
    <col min="7" max="7" width="14.5703125" style="13" customWidth="1"/>
    <col min="8" max="8" width="28.42578125" style="13" customWidth="1"/>
    <col min="9" max="9" width="32.42578125" style="13" customWidth="1"/>
    <col min="10" max="11" width="9.85546875" style="13" customWidth="1"/>
    <col min="12" max="12" width="13" style="13" customWidth="1"/>
    <col min="13" max="13" width="18.85546875" style="13" customWidth="1"/>
    <col min="14" max="14" width="10.28515625" style="13" customWidth="1"/>
    <col min="15" max="15" width="12.85546875" style="13" customWidth="1"/>
    <col min="16" max="16" width="33.5703125" style="13" customWidth="1"/>
    <col min="17" max="17" width="23.7109375" customWidth="1"/>
    <col min="18" max="18" width="33.85546875" customWidth="1"/>
    <col min="19" max="19" width="28.140625" customWidth="1"/>
    <col min="20" max="20" width="42.42578125" customWidth="1"/>
    <col min="21" max="21" width="11.140625" customWidth="1"/>
    <col min="22" max="22" width="6" customWidth="1"/>
    <col min="23" max="23" width="8.5703125" customWidth="1"/>
    <col min="24" max="24" width="7.140625" customWidth="1"/>
    <col min="25" max="25" width="29.7109375" customWidth="1"/>
  </cols>
  <sheetData>
    <row r="1" spans="2:16" ht="63" customHeight="1" x14ac:dyDescent="0.25">
      <c r="B1" s="310"/>
      <c r="C1" s="311"/>
      <c r="D1" s="311"/>
      <c r="E1" s="311"/>
      <c r="F1" s="312"/>
      <c r="G1" s="316" t="s">
        <v>662</v>
      </c>
      <c r="H1" s="317"/>
      <c r="I1" s="317"/>
      <c r="J1" s="317"/>
      <c r="K1" s="317"/>
      <c r="L1" s="318"/>
      <c r="M1" s="322" t="s">
        <v>399</v>
      </c>
      <c r="N1" s="323"/>
      <c r="O1" s="323"/>
      <c r="P1" s="324"/>
    </row>
    <row r="2" spans="2:16" ht="25.5" customHeight="1" thickBot="1" x14ac:dyDescent="0.3">
      <c r="B2" s="313"/>
      <c r="C2" s="314"/>
      <c r="D2" s="314"/>
      <c r="E2" s="314"/>
      <c r="F2" s="315"/>
      <c r="G2" s="319"/>
      <c r="H2" s="320"/>
      <c r="I2" s="320"/>
      <c r="J2" s="320"/>
      <c r="K2" s="320"/>
      <c r="L2" s="321"/>
      <c r="M2" s="325"/>
      <c r="N2" s="326"/>
      <c r="O2" s="326"/>
      <c r="P2" s="327"/>
    </row>
    <row r="3" spans="2:16" ht="45" customHeight="1" thickBot="1" x14ac:dyDescent="0.3">
      <c r="B3" s="308" t="s">
        <v>400</v>
      </c>
      <c r="C3" s="306" t="s">
        <v>663</v>
      </c>
      <c r="D3" s="328" t="s">
        <v>664</v>
      </c>
      <c r="E3" s="329"/>
      <c r="F3" s="329"/>
      <c r="G3" s="330"/>
      <c r="H3" s="306" t="s">
        <v>403</v>
      </c>
      <c r="I3" s="306" t="s">
        <v>665</v>
      </c>
      <c r="J3" s="306" t="s">
        <v>404</v>
      </c>
      <c r="K3" s="331" t="s">
        <v>318</v>
      </c>
      <c r="L3" s="332"/>
      <c r="M3" s="306" t="s">
        <v>405</v>
      </c>
      <c r="N3" s="306" t="s">
        <v>327</v>
      </c>
      <c r="O3" s="306" t="s">
        <v>666</v>
      </c>
      <c r="P3" s="308" t="s">
        <v>10</v>
      </c>
    </row>
    <row r="4" spans="2:16" ht="102.75" customHeight="1" thickBot="1" x14ac:dyDescent="0.3">
      <c r="B4" s="309"/>
      <c r="C4" s="307"/>
      <c r="D4" s="22" t="s">
        <v>408</v>
      </c>
      <c r="E4" s="22" t="s">
        <v>409</v>
      </c>
      <c r="F4" s="22" t="s">
        <v>667</v>
      </c>
      <c r="G4" s="24" t="s">
        <v>668</v>
      </c>
      <c r="H4" s="307"/>
      <c r="I4" s="307"/>
      <c r="J4" s="307"/>
      <c r="K4" s="22" t="s">
        <v>411</v>
      </c>
      <c r="L4" s="216" t="s">
        <v>412</v>
      </c>
      <c r="M4" s="307"/>
      <c r="N4" s="307"/>
      <c r="O4" s="307"/>
      <c r="P4" s="309"/>
    </row>
    <row r="5" spans="2:16" ht="131.25" customHeight="1" x14ac:dyDescent="0.25">
      <c r="B5" s="195">
        <v>1</v>
      </c>
      <c r="C5" s="25" t="s">
        <v>669</v>
      </c>
      <c r="D5" s="25" t="s">
        <v>16</v>
      </c>
      <c r="E5" s="26" t="s">
        <v>670</v>
      </c>
      <c r="F5" s="25" t="s">
        <v>671</v>
      </c>
      <c r="G5" s="26" t="s">
        <v>672</v>
      </c>
      <c r="H5" s="27" t="s">
        <v>673</v>
      </c>
      <c r="I5" s="27" t="s">
        <v>674</v>
      </c>
      <c r="J5" s="28" t="s">
        <v>417</v>
      </c>
      <c r="K5" s="132" t="s">
        <v>336</v>
      </c>
      <c r="L5" s="25" t="s">
        <v>337</v>
      </c>
      <c r="M5" s="27" t="s">
        <v>424</v>
      </c>
      <c r="N5" s="29"/>
      <c r="O5" s="30" t="s">
        <v>19</v>
      </c>
      <c r="P5" s="33" t="s">
        <v>675</v>
      </c>
    </row>
    <row r="6" spans="2:16" ht="47.25" x14ac:dyDescent="0.25">
      <c r="B6" s="196">
        <v>2</v>
      </c>
      <c r="C6" s="31" t="s">
        <v>676</v>
      </c>
      <c r="D6" s="31" t="s">
        <v>16</v>
      </c>
      <c r="E6" s="32" t="s">
        <v>677</v>
      </c>
      <c r="F6" s="32" t="s">
        <v>678</v>
      </c>
      <c r="G6" s="32" t="s">
        <v>679</v>
      </c>
      <c r="H6" s="32" t="s">
        <v>680</v>
      </c>
      <c r="I6" s="32" t="s">
        <v>681</v>
      </c>
      <c r="J6" s="31" t="s">
        <v>417</v>
      </c>
      <c r="K6" s="31" t="s">
        <v>336</v>
      </c>
      <c r="L6" s="31" t="s">
        <v>337</v>
      </c>
      <c r="M6" s="31" t="s">
        <v>682</v>
      </c>
      <c r="N6" s="31"/>
      <c r="O6" s="194" t="s">
        <v>25</v>
      </c>
      <c r="P6" s="34" t="s">
        <v>683</v>
      </c>
    </row>
    <row r="7" spans="2:16" ht="47.25" x14ac:dyDescent="0.25">
      <c r="B7" s="196">
        <v>3</v>
      </c>
      <c r="C7" s="31" t="s">
        <v>676</v>
      </c>
      <c r="D7" s="31" t="s">
        <v>16</v>
      </c>
      <c r="E7" s="32" t="s">
        <v>684</v>
      </c>
      <c r="F7" s="32" t="s">
        <v>685</v>
      </c>
      <c r="G7" s="32" t="s">
        <v>686</v>
      </c>
      <c r="H7" s="32" t="s">
        <v>687</v>
      </c>
      <c r="I7" s="32" t="s">
        <v>688</v>
      </c>
      <c r="J7" s="31" t="s">
        <v>335</v>
      </c>
      <c r="K7" s="31" t="s">
        <v>336</v>
      </c>
      <c r="L7" s="31" t="s">
        <v>337</v>
      </c>
      <c r="M7" s="31" t="s">
        <v>682</v>
      </c>
      <c r="N7" s="31"/>
      <c r="O7" s="194" t="s">
        <v>25</v>
      </c>
      <c r="P7" s="34" t="s">
        <v>683</v>
      </c>
    </row>
    <row r="8" spans="2:16" ht="47.25" x14ac:dyDescent="0.25">
      <c r="B8" s="196">
        <v>4</v>
      </c>
      <c r="C8" s="172">
        <v>45383</v>
      </c>
      <c r="D8" s="31" t="s">
        <v>16</v>
      </c>
      <c r="E8" s="32" t="s">
        <v>689</v>
      </c>
      <c r="F8" s="32" t="s">
        <v>690</v>
      </c>
      <c r="G8" s="32" t="s">
        <v>691</v>
      </c>
      <c r="H8" s="51" t="s">
        <v>692</v>
      </c>
      <c r="I8" s="32" t="s">
        <v>693</v>
      </c>
      <c r="J8" s="31" t="s">
        <v>417</v>
      </c>
      <c r="K8" s="31" t="s">
        <v>348</v>
      </c>
      <c r="L8" s="31" t="s">
        <v>348</v>
      </c>
      <c r="M8" s="75" t="s">
        <v>29</v>
      </c>
      <c r="N8" s="75"/>
      <c r="O8" s="79" t="s">
        <v>694</v>
      </c>
      <c r="P8" s="75"/>
    </row>
    <row r="9" spans="2:16" ht="47.25" x14ac:dyDescent="0.25">
      <c r="B9" s="196">
        <v>5</v>
      </c>
      <c r="C9" s="172">
        <v>45401</v>
      </c>
      <c r="D9" s="31" t="s">
        <v>16</v>
      </c>
      <c r="E9" s="32" t="s">
        <v>695</v>
      </c>
      <c r="F9" s="32" t="s">
        <v>685</v>
      </c>
      <c r="G9" s="32" t="s">
        <v>696</v>
      </c>
      <c r="H9" s="32" t="s">
        <v>697</v>
      </c>
      <c r="I9" s="169" t="s">
        <v>698</v>
      </c>
      <c r="J9" s="196" t="s">
        <v>347</v>
      </c>
      <c r="K9" s="169"/>
      <c r="L9" s="169" t="s">
        <v>349</v>
      </c>
      <c r="M9" s="169" t="s">
        <v>53</v>
      </c>
      <c r="N9" s="169"/>
      <c r="O9" s="79" t="s">
        <v>694</v>
      </c>
      <c r="P9" s="170" t="s">
        <v>699</v>
      </c>
    </row>
    <row r="10" spans="2:16" ht="78.75" x14ac:dyDescent="0.25">
      <c r="B10" s="196">
        <v>6</v>
      </c>
      <c r="C10" s="100">
        <v>45435</v>
      </c>
      <c r="D10" s="31" t="s">
        <v>77</v>
      </c>
      <c r="E10" s="32" t="s">
        <v>700</v>
      </c>
      <c r="F10" s="32" t="s">
        <v>451</v>
      </c>
      <c r="G10" s="32" t="s">
        <v>701</v>
      </c>
      <c r="H10" s="32" t="s">
        <v>201</v>
      </c>
      <c r="I10" s="169" t="s">
        <v>702</v>
      </c>
      <c r="J10" s="196" t="s">
        <v>347</v>
      </c>
      <c r="K10" s="169"/>
      <c r="L10" s="169" t="s">
        <v>349</v>
      </c>
      <c r="M10" s="127" t="s">
        <v>202</v>
      </c>
      <c r="N10" s="169"/>
      <c r="O10" s="193" t="s">
        <v>19</v>
      </c>
      <c r="P10" s="170"/>
    </row>
    <row r="11" spans="2:16" ht="75" x14ac:dyDescent="0.25">
      <c r="B11" s="196">
        <v>7</v>
      </c>
      <c r="C11" s="172">
        <v>45502</v>
      </c>
      <c r="D11" s="31" t="s">
        <v>703</v>
      </c>
      <c r="E11" s="32" t="s">
        <v>704</v>
      </c>
      <c r="F11" s="169" t="s">
        <v>451</v>
      </c>
      <c r="G11" s="127" t="s">
        <v>705</v>
      </c>
      <c r="H11" s="127" t="s">
        <v>252</v>
      </c>
      <c r="I11" s="171" t="s">
        <v>706</v>
      </c>
      <c r="J11" s="196" t="s">
        <v>347</v>
      </c>
      <c r="K11" s="169" t="s">
        <v>349</v>
      </c>
      <c r="L11" s="169" t="s">
        <v>349</v>
      </c>
      <c r="M11" s="169" t="s">
        <v>53</v>
      </c>
      <c r="N11" s="51"/>
      <c r="O11" s="193" t="s">
        <v>19</v>
      </c>
      <c r="P11" s="51" t="s">
        <v>707</v>
      </c>
    </row>
    <row r="12" spans="2:16" ht="47.25" x14ac:dyDescent="0.25">
      <c r="B12" s="31">
        <v>8</v>
      </c>
      <c r="C12" s="199">
        <v>45559</v>
      </c>
      <c r="D12" s="196" t="s">
        <v>303</v>
      </c>
      <c r="E12" s="32" t="s">
        <v>704</v>
      </c>
      <c r="F12" s="169" t="s">
        <v>708</v>
      </c>
      <c r="G12" s="169" t="s">
        <v>709</v>
      </c>
      <c r="H12" s="169" t="s">
        <v>304</v>
      </c>
      <c r="I12" s="169" t="s">
        <v>710</v>
      </c>
      <c r="J12" s="196" t="s">
        <v>347</v>
      </c>
      <c r="K12" s="169" t="s">
        <v>349</v>
      </c>
      <c r="L12" s="169" t="s">
        <v>349</v>
      </c>
      <c r="M12" s="169" t="s">
        <v>53</v>
      </c>
      <c r="N12" s="51"/>
      <c r="O12" s="194" t="s">
        <v>25</v>
      </c>
      <c r="P12" s="51" t="s">
        <v>711</v>
      </c>
    </row>
    <row r="13" spans="2:16" ht="47.25" x14ac:dyDescent="0.25">
      <c r="B13" s="31">
        <v>9</v>
      </c>
      <c r="C13" s="199">
        <v>45559</v>
      </c>
      <c r="D13" s="196" t="s">
        <v>303</v>
      </c>
      <c r="E13" s="32" t="s">
        <v>704</v>
      </c>
      <c r="F13" s="169" t="s">
        <v>708</v>
      </c>
      <c r="G13" s="169" t="s">
        <v>712</v>
      </c>
      <c r="H13" s="169" t="s">
        <v>305</v>
      </c>
      <c r="I13" s="169" t="s">
        <v>713</v>
      </c>
      <c r="J13" s="196" t="s">
        <v>347</v>
      </c>
      <c r="K13" s="169" t="s">
        <v>349</v>
      </c>
      <c r="L13" s="169" t="s">
        <v>349</v>
      </c>
      <c r="M13" s="169" t="s">
        <v>53</v>
      </c>
      <c r="N13" s="51"/>
      <c r="O13" s="194" t="s">
        <v>25</v>
      </c>
      <c r="P13" s="51" t="s">
        <v>711</v>
      </c>
    </row>
    <row r="14" spans="2:16" ht="78.75" x14ac:dyDescent="0.25">
      <c r="B14" s="31">
        <v>10</v>
      </c>
      <c r="C14" s="199">
        <v>45559</v>
      </c>
      <c r="D14" s="196" t="s">
        <v>303</v>
      </c>
      <c r="E14" s="32" t="s">
        <v>704</v>
      </c>
      <c r="F14" s="169" t="s">
        <v>708</v>
      </c>
      <c r="G14" s="169" t="s">
        <v>714</v>
      </c>
      <c r="H14" s="169" t="s">
        <v>306</v>
      </c>
      <c r="I14" s="169" t="s">
        <v>715</v>
      </c>
      <c r="J14" s="196" t="s">
        <v>347</v>
      </c>
      <c r="K14" s="169" t="s">
        <v>349</v>
      </c>
      <c r="L14" s="169" t="s">
        <v>349</v>
      </c>
      <c r="M14" s="169" t="s">
        <v>53</v>
      </c>
      <c r="N14" s="51"/>
      <c r="O14" s="194" t="s">
        <v>25</v>
      </c>
      <c r="P14" s="51" t="s">
        <v>711</v>
      </c>
    </row>
    <row r="15" spans="2:16" ht="15" x14ac:dyDescent="0.25">
      <c r="B15" s="55"/>
      <c r="C15" s="55"/>
      <c r="D15" s="55"/>
      <c r="E15" s="55"/>
      <c r="F15" s="55"/>
      <c r="G15" s="55" t="s">
        <v>1086</v>
      </c>
      <c r="H15" s="55"/>
      <c r="I15" s="55"/>
      <c r="J15" s="55"/>
      <c r="K15" s="55"/>
      <c r="L15" s="55"/>
      <c r="M15" s="55"/>
      <c r="N15" s="55"/>
      <c r="O15" s="55"/>
      <c r="P15" s="55"/>
    </row>
    <row r="16" spans="2:16" ht="15" x14ac:dyDescent="0.25">
      <c r="B16"/>
      <c r="C16"/>
      <c r="D16"/>
      <c r="E16"/>
      <c r="F16"/>
      <c r="G16"/>
      <c r="H16"/>
      <c r="I16"/>
      <c r="J16"/>
      <c r="K16"/>
      <c r="L16"/>
      <c r="M16"/>
      <c r="N16"/>
      <c r="O16"/>
      <c r="P16"/>
    </row>
    <row r="17" customFormat="1" ht="15" x14ac:dyDescent="0.25"/>
    <row r="18" customFormat="1" ht="15" x14ac:dyDescent="0.25"/>
    <row r="19" customFormat="1" ht="15" x14ac:dyDescent="0.25"/>
    <row r="20" customFormat="1" ht="15" x14ac:dyDescent="0.25"/>
    <row r="21" customFormat="1" ht="15" x14ac:dyDescent="0.25"/>
    <row r="22" customFormat="1" ht="15" x14ac:dyDescent="0.25"/>
    <row r="23" customFormat="1" ht="15" x14ac:dyDescent="0.25"/>
    <row r="24" customFormat="1" ht="15" x14ac:dyDescent="0.25"/>
    <row r="25" customFormat="1" ht="15" x14ac:dyDescent="0.25"/>
    <row r="26" customFormat="1" ht="15" x14ac:dyDescent="0.25"/>
    <row r="27" customFormat="1" ht="15" x14ac:dyDescent="0.25"/>
    <row r="28" customFormat="1" ht="15" x14ac:dyDescent="0.25"/>
    <row r="29" customFormat="1" ht="15" x14ac:dyDescent="0.25"/>
    <row r="30" customFormat="1" ht="15" x14ac:dyDescent="0.25"/>
    <row r="31" customFormat="1" ht="15" x14ac:dyDescent="0.25"/>
    <row r="32" customFormat="1" ht="15" x14ac:dyDescent="0.25"/>
    <row r="33" customFormat="1" ht="15" x14ac:dyDescent="0.25"/>
    <row r="34" customFormat="1" ht="15" x14ac:dyDescent="0.25"/>
    <row r="35" customFormat="1" ht="56.25" customHeight="1" x14ac:dyDescent="0.25"/>
    <row r="36" customFormat="1" ht="15" x14ac:dyDescent="0.25"/>
    <row r="37" customFormat="1" ht="15" x14ac:dyDescent="0.25"/>
    <row r="38" customFormat="1" ht="15" x14ac:dyDescent="0.25"/>
    <row r="39" customFormat="1" ht="15" x14ac:dyDescent="0.25"/>
    <row r="40" customFormat="1" ht="67.5" customHeight="1" x14ac:dyDescent="0.25"/>
    <row r="41" customFormat="1" ht="65.25" customHeight="1" x14ac:dyDescent="0.25"/>
    <row r="42" customFormat="1" ht="15" x14ac:dyDescent="0.25"/>
    <row r="43" customFormat="1" ht="15" x14ac:dyDescent="0.25"/>
    <row r="44" customFormat="1" ht="15" x14ac:dyDescent="0.25"/>
    <row r="45" customFormat="1" ht="15" x14ac:dyDescent="0.25"/>
    <row r="46" customFormat="1" ht="15" x14ac:dyDescent="0.25"/>
    <row r="47" customFormat="1" ht="15" x14ac:dyDescent="0.25"/>
    <row r="48" customFormat="1" ht="15" x14ac:dyDescent="0.25"/>
    <row r="49" customFormat="1" ht="15" x14ac:dyDescent="0.25"/>
    <row r="50" customFormat="1" ht="15" x14ac:dyDescent="0.25"/>
    <row r="51" customFormat="1" ht="15" x14ac:dyDescent="0.25"/>
    <row r="52" customFormat="1" ht="15" x14ac:dyDescent="0.25"/>
    <row r="53" customFormat="1" ht="15" x14ac:dyDescent="0.25"/>
    <row r="54" customFormat="1" ht="15" x14ac:dyDescent="0.25"/>
    <row r="55" customFormat="1" ht="15" x14ac:dyDescent="0.25"/>
    <row r="56" customFormat="1" ht="15" x14ac:dyDescent="0.25"/>
    <row r="57" customFormat="1" ht="15" x14ac:dyDescent="0.25"/>
    <row r="58" customFormat="1" ht="15" x14ac:dyDescent="0.25"/>
    <row r="59" customFormat="1" ht="15" x14ac:dyDescent="0.25"/>
    <row r="60" customFormat="1" ht="15" x14ac:dyDescent="0.25"/>
    <row r="61" customFormat="1" ht="15" x14ac:dyDescent="0.25"/>
    <row r="62" customFormat="1" ht="15" x14ac:dyDescent="0.25"/>
    <row r="63" customFormat="1" ht="15" x14ac:dyDescent="0.25"/>
    <row r="64" customFormat="1" ht="15" x14ac:dyDescent="0.25"/>
    <row r="65" customFormat="1" ht="15" x14ac:dyDescent="0.25"/>
    <row r="66" customFormat="1" ht="15" x14ac:dyDescent="0.25"/>
    <row r="67" customFormat="1" ht="15" x14ac:dyDescent="0.25"/>
    <row r="68" customFormat="1" ht="15" x14ac:dyDescent="0.25"/>
    <row r="69" customFormat="1" ht="15" x14ac:dyDescent="0.25"/>
    <row r="70" customFormat="1" ht="15" x14ac:dyDescent="0.25"/>
    <row r="71" customFormat="1" ht="15" x14ac:dyDescent="0.25"/>
    <row r="72" customFormat="1" ht="15" x14ac:dyDescent="0.25"/>
    <row r="73" customFormat="1" ht="15" x14ac:dyDescent="0.25"/>
    <row r="74" customFormat="1" ht="15" x14ac:dyDescent="0.25"/>
    <row r="75" customFormat="1" ht="15" x14ac:dyDescent="0.25"/>
    <row r="76" customFormat="1" ht="15" x14ac:dyDescent="0.25"/>
    <row r="77" customFormat="1" ht="15" x14ac:dyDescent="0.25"/>
    <row r="78" customFormat="1" ht="15" x14ac:dyDescent="0.25"/>
    <row r="79" customFormat="1" ht="15" x14ac:dyDescent="0.25"/>
    <row r="80" customFormat="1" ht="15" x14ac:dyDescent="0.25"/>
    <row r="81" customFormat="1" ht="15" x14ac:dyDescent="0.25"/>
    <row r="82" customFormat="1" ht="15" x14ac:dyDescent="0.25"/>
    <row r="83" customFormat="1" ht="15" x14ac:dyDescent="0.25"/>
  </sheetData>
  <autoFilter ref="F4:F14"/>
  <mergeCells count="14">
    <mergeCell ref="M3:M4"/>
    <mergeCell ref="N3:N4"/>
    <mergeCell ref="O3:O4"/>
    <mergeCell ref="P3:P4"/>
    <mergeCell ref="B1:F2"/>
    <mergeCell ref="G1:L2"/>
    <mergeCell ref="M1:P2"/>
    <mergeCell ref="B3:B4"/>
    <mergeCell ref="C3:C4"/>
    <mergeCell ref="D3:G3"/>
    <mergeCell ref="H3:H4"/>
    <mergeCell ref="I3:I4"/>
    <mergeCell ref="J3:J4"/>
    <mergeCell ref="K3:L3"/>
  </mergeCells>
  <printOptions gridLines="1"/>
  <pageMargins left="0.7" right="0.7" top="0.5" bottom="0.5" header="0.3" footer="0.3"/>
  <pageSetup paperSize="9" scale="53" fitToHeight="0"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0"/>
  <sheetViews>
    <sheetView topLeftCell="C1" zoomScale="111" zoomScaleNormal="111" workbookViewId="0">
      <selection activeCell="I40" sqref="I40"/>
    </sheetView>
  </sheetViews>
  <sheetFormatPr defaultRowHeight="15" x14ac:dyDescent="0.25"/>
  <cols>
    <col min="1" max="1" width="2.28515625" customWidth="1"/>
    <col min="2" max="2" width="5.42578125" customWidth="1"/>
    <col min="3" max="3" width="12.42578125" customWidth="1"/>
    <col min="4" max="4" width="15.5703125" bestFit="1" customWidth="1"/>
    <col min="5" max="5" width="12.140625" customWidth="1"/>
    <col min="6" max="6" width="8.28515625" customWidth="1"/>
    <col min="7" max="7" width="8.140625" customWidth="1"/>
    <col min="8" max="8" width="10.140625" customWidth="1"/>
    <col min="9" max="9" width="15.85546875" style="58" customWidth="1"/>
    <col min="10" max="10" width="19.42578125" customWidth="1"/>
    <col min="11" max="11" width="14.28515625" customWidth="1"/>
    <col min="12" max="12" width="16.28515625" customWidth="1"/>
    <col min="13" max="13" width="34.5703125" customWidth="1"/>
  </cols>
  <sheetData>
    <row r="1" spans="2:13" ht="41.25" customHeight="1" thickBot="1" x14ac:dyDescent="0.3">
      <c r="B1" s="333"/>
      <c r="C1" s="334"/>
      <c r="D1" s="335"/>
      <c r="E1" s="336" t="s">
        <v>716</v>
      </c>
      <c r="F1" s="337"/>
      <c r="G1" s="337"/>
      <c r="H1" s="337"/>
      <c r="I1" s="337"/>
      <c r="J1" s="337"/>
      <c r="K1" s="338"/>
      <c r="L1" s="339" t="s">
        <v>717</v>
      </c>
      <c r="M1" s="340"/>
    </row>
    <row r="2" spans="2:13" ht="15.75" thickBot="1" x14ac:dyDescent="0.3"/>
    <row r="3" spans="2:13" ht="48" thickBot="1" x14ac:dyDescent="0.3">
      <c r="B3" s="23" t="s">
        <v>2</v>
      </c>
      <c r="C3" s="213" t="s">
        <v>718</v>
      </c>
      <c r="D3" s="215" t="s">
        <v>719</v>
      </c>
      <c r="E3" s="22" t="s">
        <v>720</v>
      </c>
      <c r="F3" s="297" t="s">
        <v>721</v>
      </c>
      <c r="G3" s="299"/>
      <c r="H3" s="217" t="s">
        <v>722</v>
      </c>
      <c r="I3" s="22" t="s">
        <v>723</v>
      </c>
      <c r="J3" s="217" t="s">
        <v>724</v>
      </c>
      <c r="K3" s="22" t="s">
        <v>725</v>
      </c>
      <c r="L3" s="22" t="s">
        <v>726</v>
      </c>
      <c r="M3" s="218" t="s">
        <v>10</v>
      </c>
    </row>
    <row r="4" spans="2:13" s="36" customFormat="1" ht="45" x14ac:dyDescent="0.25">
      <c r="B4" s="81">
        <v>1</v>
      </c>
      <c r="C4" s="37" t="s">
        <v>727</v>
      </c>
      <c r="D4" s="37" t="s">
        <v>728</v>
      </c>
      <c r="E4" s="38">
        <v>0.32291666666666669</v>
      </c>
      <c r="F4" s="39" t="s">
        <v>729</v>
      </c>
      <c r="G4" s="39" t="s">
        <v>730</v>
      </c>
      <c r="H4" s="39" t="s">
        <v>731</v>
      </c>
      <c r="I4" s="40" t="s">
        <v>732</v>
      </c>
      <c r="J4" s="40" t="s">
        <v>733</v>
      </c>
      <c r="K4" s="39" t="s">
        <v>734</v>
      </c>
      <c r="L4" s="39" t="s">
        <v>331</v>
      </c>
      <c r="M4" s="223" t="s">
        <v>735</v>
      </c>
    </row>
    <row r="5" spans="2:13" s="36" customFormat="1" ht="45" x14ac:dyDescent="0.25">
      <c r="B5" s="81">
        <v>2</v>
      </c>
      <c r="C5" s="63">
        <v>45362</v>
      </c>
      <c r="D5" s="37" t="s">
        <v>736</v>
      </c>
      <c r="E5" s="65" t="s">
        <v>737</v>
      </c>
      <c r="F5" s="39" t="s">
        <v>729</v>
      </c>
      <c r="G5" s="39" t="s">
        <v>730</v>
      </c>
      <c r="H5" s="39" t="s">
        <v>731</v>
      </c>
      <c r="I5" s="40" t="s">
        <v>732</v>
      </c>
      <c r="J5" s="40" t="s">
        <v>738</v>
      </c>
      <c r="K5" s="39" t="s">
        <v>739</v>
      </c>
      <c r="L5" s="39" t="s">
        <v>342</v>
      </c>
      <c r="M5" s="40" t="s">
        <v>740</v>
      </c>
    </row>
    <row r="6" spans="2:13" s="36" customFormat="1" ht="45" x14ac:dyDescent="0.25">
      <c r="B6" s="81">
        <v>3</v>
      </c>
      <c r="C6" s="63">
        <v>45369</v>
      </c>
      <c r="D6" s="37" t="s">
        <v>741</v>
      </c>
      <c r="E6" s="65" t="s">
        <v>742</v>
      </c>
      <c r="F6" s="39" t="s">
        <v>730</v>
      </c>
      <c r="G6" s="39" t="s">
        <v>729</v>
      </c>
      <c r="H6" s="39" t="s">
        <v>743</v>
      </c>
      <c r="I6" s="40" t="s">
        <v>744</v>
      </c>
      <c r="J6" s="40" t="s">
        <v>745</v>
      </c>
      <c r="K6" s="39" t="s">
        <v>734</v>
      </c>
      <c r="L6" s="39" t="s">
        <v>342</v>
      </c>
      <c r="M6" s="40" t="s">
        <v>746</v>
      </c>
    </row>
    <row r="7" spans="2:13" s="10" customFormat="1" ht="30" x14ac:dyDescent="0.25">
      <c r="B7" s="81">
        <v>4</v>
      </c>
      <c r="C7" s="59" t="s">
        <v>747</v>
      </c>
      <c r="D7" s="59" t="s">
        <v>748</v>
      </c>
      <c r="E7" s="60" t="s">
        <v>936</v>
      </c>
      <c r="F7" s="59" t="s">
        <v>730</v>
      </c>
      <c r="G7" s="59" t="s">
        <v>729</v>
      </c>
      <c r="H7" s="59" t="s">
        <v>730</v>
      </c>
      <c r="I7" s="61" t="s">
        <v>749</v>
      </c>
      <c r="J7" s="61" t="s">
        <v>750</v>
      </c>
      <c r="K7" s="61" t="s">
        <v>751</v>
      </c>
      <c r="L7" s="59" t="s">
        <v>752</v>
      </c>
      <c r="M7" s="61" t="s">
        <v>753</v>
      </c>
    </row>
    <row r="8" spans="2:13" s="10" customFormat="1" ht="30" x14ac:dyDescent="0.25">
      <c r="B8" s="81">
        <v>5</v>
      </c>
      <c r="C8" s="63">
        <v>45376</v>
      </c>
      <c r="D8" s="37" t="s">
        <v>754</v>
      </c>
      <c r="E8" s="64" t="s">
        <v>937</v>
      </c>
      <c r="F8" s="59" t="s">
        <v>730</v>
      </c>
      <c r="G8" s="59" t="s">
        <v>729</v>
      </c>
      <c r="H8" s="59" t="s">
        <v>743</v>
      </c>
      <c r="I8" s="67" t="s">
        <v>755</v>
      </c>
      <c r="J8" s="68" t="s">
        <v>756</v>
      </c>
      <c r="K8" s="37" t="s">
        <v>734</v>
      </c>
      <c r="L8" s="69" t="s">
        <v>342</v>
      </c>
      <c r="M8" s="61" t="s">
        <v>757</v>
      </c>
    </row>
    <row r="9" spans="2:13" s="10" customFormat="1" ht="60" x14ac:dyDescent="0.25">
      <c r="B9" s="81">
        <v>6</v>
      </c>
      <c r="C9" s="73">
        <v>45381</v>
      </c>
      <c r="D9" s="37" t="s">
        <v>741</v>
      </c>
      <c r="E9" s="64" t="s">
        <v>758</v>
      </c>
      <c r="F9" s="37" t="s">
        <v>730</v>
      </c>
      <c r="G9" s="37" t="s">
        <v>729</v>
      </c>
      <c r="H9" s="37" t="s">
        <v>731</v>
      </c>
      <c r="I9" s="72" t="s">
        <v>759</v>
      </c>
      <c r="J9" s="72" t="s">
        <v>760</v>
      </c>
      <c r="K9" s="71" t="s">
        <v>734</v>
      </c>
      <c r="L9" s="37" t="s">
        <v>342</v>
      </c>
      <c r="M9" s="61" t="s">
        <v>761</v>
      </c>
    </row>
    <row r="10" spans="2:13" s="10" customFormat="1" ht="45" x14ac:dyDescent="0.25">
      <c r="B10" s="81">
        <v>7</v>
      </c>
      <c r="C10" s="74" t="s">
        <v>762</v>
      </c>
      <c r="D10" s="37" t="s">
        <v>763</v>
      </c>
      <c r="E10" s="76" t="s">
        <v>764</v>
      </c>
      <c r="F10" s="37" t="s">
        <v>730</v>
      </c>
      <c r="G10" s="37" t="s">
        <v>729</v>
      </c>
      <c r="H10" s="37" t="s">
        <v>731</v>
      </c>
      <c r="I10" s="72" t="s">
        <v>765</v>
      </c>
      <c r="J10" s="72" t="s">
        <v>766</v>
      </c>
      <c r="K10" s="71" t="s">
        <v>739</v>
      </c>
      <c r="L10" s="37" t="s">
        <v>331</v>
      </c>
      <c r="M10" s="61" t="s">
        <v>767</v>
      </c>
    </row>
    <row r="11" spans="2:13" s="10" customFormat="1" ht="45" x14ac:dyDescent="0.25">
      <c r="B11" s="81">
        <v>8</v>
      </c>
      <c r="C11" s="74" t="s">
        <v>768</v>
      </c>
      <c r="D11" s="37" t="s">
        <v>769</v>
      </c>
      <c r="E11" s="77">
        <v>0.45833333333333331</v>
      </c>
      <c r="F11" s="37" t="s">
        <v>731</v>
      </c>
      <c r="G11" s="37" t="s">
        <v>729</v>
      </c>
      <c r="H11" s="37" t="s">
        <v>731</v>
      </c>
      <c r="I11" s="72" t="s">
        <v>765</v>
      </c>
      <c r="J11" s="72" t="s">
        <v>770</v>
      </c>
      <c r="K11" s="71" t="s">
        <v>734</v>
      </c>
      <c r="L11" s="37" t="s">
        <v>342</v>
      </c>
      <c r="M11" s="61" t="s">
        <v>771</v>
      </c>
    </row>
    <row r="12" spans="2:13" s="10" customFormat="1" ht="45" x14ac:dyDescent="0.25">
      <c r="B12" s="81">
        <v>9</v>
      </c>
      <c r="C12" s="78">
        <v>45393</v>
      </c>
      <c r="D12" s="37" t="s">
        <v>772</v>
      </c>
      <c r="E12" s="77">
        <v>0.61458333333333337</v>
      </c>
      <c r="F12" s="37" t="s">
        <v>731</v>
      </c>
      <c r="G12" s="37" t="s">
        <v>729</v>
      </c>
      <c r="H12" s="37" t="s">
        <v>731</v>
      </c>
      <c r="I12" s="72" t="s">
        <v>765</v>
      </c>
      <c r="J12" s="72" t="s">
        <v>773</v>
      </c>
      <c r="K12" s="71" t="s">
        <v>734</v>
      </c>
      <c r="L12" s="37" t="s">
        <v>342</v>
      </c>
      <c r="M12" s="61" t="s">
        <v>774</v>
      </c>
    </row>
    <row r="13" spans="2:13" s="10" customFormat="1" ht="45" x14ac:dyDescent="0.25">
      <c r="B13" s="81">
        <v>10</v>
      </c>
      <c r="C13" s="63">
        <v>45393</v>
      </c>
      <c r="D13" s="37" t="s">
        <v>769</v>
      </c>
      <c r="E13" s="77">
        <v>0.37361111111111112</v>
      </c>
      <c r="F13" s="37" t="s">
        <v>731</v>
      </c>
      <c r="G13" s="37" t="s">
        <v>729</v>
      </c>
      <c r="H13" s="37" t="s">
        <v>731</v>
      </c>
      <c r="I13" s="72" t="s">
        <v>755</v>
      </c>
      <c r="J13" s="72" t="s">
        <v>775</v>
      </c>
      <c r="K13" s="71" t="s">
        <v>734</v>
      </c>
      <c r="L13" s="37" t="s">
        <v>331</v>
      </c>
      <c r="M13" s="61" t="s">
        <v>776</v>
      </c>
    </row>
    <row r="14" spans="2:13" ht="45" x14ac:dyDescent="0.25">
      <c r="B14" s="81">
        <v>11</v>
      </c>
      <c r="C14" s="63">
        <v>45393</v>
      </c>
      <c r="D14" s="37" t="s">
        <v>777</v>
      </c>
      <c r="E14" s="77">
        <v>0.53125</v>
      </c>
      <c r="F14" s="37" t="s">
        <v>778</v>
      </c>
      <c r="G14" s="37" t="s">
        <v>779</v>
      </c>
      <c r="H14" s="37" t="s">
        <v>780</v>
      </c>
      <c r="I14" s="72" t="s">
        <v>765</v>
      </c>
      <c r="J14" s="72" t="s">
        <v>775</v>
      </c>
      <c r="K14" s="71"/>
      <c r="L14" s="37" t="s">
        <v>331</v>
      </c>
      <c r="M14" s="153" t="s">
        <v>781</v>
      </c>
    </row>
    <row r="15" spans="2:13" ht="45" x14ac:dyDescent="0.25">
      <c r="B15" s="81">
        <v>12</v>
      </c>
      <c r="C15" s="63">
        <v>45394</v>
      </c>
      <c r="D15" s="37" t="s">
        <v>769</v>
      </c>
      <c r="E15" s="77">
        <v>0.60833333333333328</v>
      </c>
      <c r="F15" s="37" t="s">
        <v>731</v>
      </c>
      <c r="G15" s="37" t="s">
        <v>729</v>
      </c>
      <c r="H15" s="37" t="s">
        <v>731</v>
      </c>
      <c r="I15" s="66" t="s">
        <v>782</v>
      </c>
      <c r="J15" s="59" t="s">
        <v>783</v>
      </c>
      <c r="K15" s="37" t="s">
        <v>734</v>
      </c>
      <c r="L15" s="37" t="s">
        <v>342</v>
      </c>
      <c r="M15" s="61" t="s">
        <v>784</v>
      </c>
    </row>
    <row r="16" spans="2:13" ht="45" x14ac:dyDescent="0.25">
      <c r="B16" s="81">
        <v>13</v>
      </c>
      <c r="C16" s="63">
        <v>45401</v>
      </c>
      <c r="D16" s="55" t="s">
        <v>741</v>
      </c>
      <c r="E16" s="64">
        <v>0.25138888888888888</v>
      </c>
      <c r="F16" s="37" t="s">
        <v>730</v>
      </c>
      <c r="G16" s="37" t="s">
        <v>729</v>
      </c>
      <c r="H16" s="37" t="s">
        <v>731</v>
      </c>
      <c r="I16" s="72" t="s">
        <v>785</v>
      </c>
      <c r="J16" s="75" t="s">
        <v>786</v>
      </c>
      <c r="K16" s="75" t="s">
        <v>787</v>
      </c>
      <c r="L16" s="37" t="s">
        <v>331</v>
      </c>
      <c r="M16" s="153" t="s">
        <v>788</v>
      </c>
    </row>
    <row r="17" spans="2:13" ht="120" x14ac:dyDescent="0.25">
      <c r="B17" s="81">
        <v>14</v>
      </c>
      <c r="C17" s="63">
        <v>45401</v>
      </c>
      <c r="D17" s="37" t="s">
        <v>769</v>
      </c>
      <c r="E17" s="64">
        <v>0.25347222222222221</v>
      </c>
      <c r="F17" s="37" t="s">
        <v>731</v>
      </c>
      <c r="G17" s="37" t="s">
        <v>729</v>
      </c>
      <c r="H17" s="37" t="s">
        <v>731</v>
      </c>
      <c r="I17" s="72" t="s">
        <v>785</v>
      </c>
      <c r="J17" s="59" t="s">
        <v>789</v>
      </c>
      <c r="K17" s="39" t="s">
        <v>739</v>
      </c>
      <c r="L17" s="37" t="s">
        <v>790</v>
      </c>
      <c r="M17" s="153" t="s">
        <v>791</v>
      </c>
    </row>
    <row r="18" spans="2:13" ht="60" x14ac:dyDescent="0.25">
      <c r="B18" s="81">
        <v>15</v>
      </c>
      <c r="C18" s="59" t="s">
        <v>792</v>
      </c>
      <c r="D18" s="59" t="s">
        <v>793</v>
      </c>
      <c r="E18" s="131">
        <v>0.36805555555555558</v>
      </c>
      <c r="F18" s="59" t="s">
        <v>729</v>
      </c>
      <c r="G18" s="59" t="s">
        <v>731</v>
      </c>
      <c r="H18" s="59" t="s">
        <v>730</v>
      </c>
      <c r="I18" s="59" t="s">
        <v>794</v>
      </c>
      <c r="J18" s="59" t="s">
        <v>795</v>
      </c>
      <c r="K18" s="59" t="s">
        <v>796</v>
      </c>
      <c r="L18" s="59" t="s">
        <v>331</v>
      </c>
      <c r="M18" s="61" t="s">
        <v>797</v>
      </c>
    </row>
    <row r="19" spans="2:13" ht="45" x14ac:dyDescent="0.25">
      <c r="B19" s="81">
        <v>16</v>
      </c>
      <c r="C19" s="151">
        <v>45443</v>
      </c>
      <c r="D19" s="59" t="s">
        <v>798</v>
      </c>
      <c r="E19" s="60">
        <v>0.4861111111111111</v>
      </c>
      <c r="F19" s="59" t="s">
        <v>730</v>
      </c>
      <c r="G19" s="59" t="s">
        <v>729</v>
      </c>
      <c r="H19" s="59" t="s">
        <v>730</v>
      </c>
      <c r="I19" s="72" t="s">
        <v>799</v>
      </c>
      <c r="J19" s="59" t="s">
        <v>800</v>
      </c>
      <c r="K19" s="59"/>
      <c r="L19" s="59" t="s">
        <v>331</v>
      </c>
      <c r="M19" s="153" t="s">
        <v>212</v>
      </c>
    </row>
    <row r="20" spans="2:13" ht="63.75" customHeight="1" x14ac:dyDescent="0.25">
      <c r="B20" s="81">
        <v>17</v>
      </c>
      <c r="C20" s="151">
        <v>45460</v>
      </c>
      <c r="D20" s="59" t="s">
        <v>769</v>
      </c>
      <c r="E20" s="60">
        <v>0.26805555555555555</v>
      </c>
      <c r="F20" s="60" t="s">
        <v>801</v>
      </c>
      <c r="G20" s="59" t="s">
        <v>802</v>
      </c>
      <c r="H20" s="59" t="s">
        <v>801</v>
      </c>
      <c r="I20" s="72" t="s">
        <v>799</v>
      </c>
      <c r="J20" s="59" t="s">
        <v>803</v>
      </c>
      <c r="K20" s="59"/>
      <c r="L20" s="59" t="s">
        <v>331</v>
      </c>
      <c r="M20" s="224" t="s">
        <v>238</v>
      </c>
    </row>
    <row r="21" spans="2:13" ht="63.75" customHeight="1" x14ac:dyDescent="0.25">
      <c r="B21" s="81">
        <v>18</v>
      </c>
      <c r="C21" s="151">
        <v>45462</v>
      </c>
      <c r="D21" s="59" t="s">
        <v>804</v>
      </c>
      <c r="E21" s="60">
        <v>0.20902777777777778</v>
      </c>
      <c r="F21" s="60" t="s">
        <v>801</v>
      </c>
      <c r="G21" s="59" t="s">
        <v>802</v>
      </c>
      <c r="H21" s="59" t="s">
        <v>801</v>
      </c>
      <c r="I21" s="72" t="s">
        <v>799</v>
      </c>
      <c r="J21" s="59" t="s">
        <v>803</v>
      </c>
      <c r="K21" s="59"/>
      <c r="L21" s="59" t="s">
        <v>331</v>
      </c>
      <c r="M21" s="153" t="s">
        <v>239</v>
      </c>
    </row>
    <row r="22" spans="2:13" ht="105" x14ac:dyDescent="0.25">
      <c r="B22" s="81">
        <v>19</v>
      </c>
      <c r="C22" s="151">
        <v>45471</v>
      </c>
      <c r="D22" s="59" t="s">
        <v>777</v>
      </c>
      <c r="E22" s="60">
        <v>0.20902777777777778</v>
      </c>
      <c r="F22" s="60" t="s">
        <v>801</v>
      </c>
      <c r="G22" s="59" t="s">
        <v>1075</v>
      </c>
      <c r="H22" s="59" t="s">
        <v>801</v>
      </c>
      <c r="I22" s="72" t="s">
        <v>799</v>
      </c>
      <c r="J22" s="40" t="s">
        <v>1076</v>
      </c>
      <c r="K22" s="59"/>
      <c r="L22" s="59" t="s">
        <v>342</v>
      </c>
      <c r="M22" s="153" t="s">
        <v>1077</v>
      </c>
    </row>
    <row r="23" spans="2:13" ht="60" x14ac:dyDescent="0.25">
      <c r="B23" s="81">
        <v>20</v>
      </c>
      <c r="C23" s="151">
        <v>45502</v>
      </c>
      <c r="D23" s="59" t="s">
        <v>741</v>
      </c>
      <c r="E23" s="60">
        <v>0.25694444444444448</v>
      </c>
      <c r="F23" s="59" t="s">
        <v>805</v>
      </c>
      <c r="G23" s="59" t="s">
        <v>806</v>
      </c>
      <c r="H23" s="59" t="s">
        <v>805</v>
      </c>
      <c r="I23" s="72" t="s">
        <v>799</v>
      </c>
      <c r="J23" s="59" t="s">
        <v>807</v>
      </c>
      <c r="K23" s="59"/>
      <c r="L23" s="59" t="s">
        <v>790</v>
      </c>
      <c r="M23" s="153" t="s">
        <v>250</v>
      </c>
    </row>
    <row r="24" spans="2:13" ht="90" x14ac:dyDescent="0.25">
      <c r="B24" s="81">
        <v>21</v>
      </c>
      <c r="C24" s="151">
        <v>45512</v>
      </c>
      <c r="D24" s="59" t="s">
        <v>808</v>
      </c>
      <c r="E24" s="60">
        <v>0.27777777777777779</v>
      </c>
      <c r="F24" s="59" t="s">
        <v>730</v>
      </c>
      <c r="G24" s="59" t="s">
        <v>729</v>
      </c>
      <c r="H24" s="59" t="s">
        <v>730</v>
      </c>
      <c r="I24" s="59" t="s">
        <v>809</v>
      </c>
      <c r="J24" s="59" t="s">
        <v>810</v>
      </c>
      <c r="K24" s="59"/>
      <c r="L24" s="59" t="s">
        <v>790</v>
      </c>
      <c r="M24" s="153" t="s">
        <v>253</v>
      </c>
    </row>
    <row r="25" spans="2:13" ht="75" x14ac:dyDescent="0.25">
      <c r="B25" s="81">
        <v>22</v>
      </c>
      <c r="C25" s="151">
        <v>45514</v>
      </c>
      <c r="D25" s="59" t="s">
        <v>808</v>
      </c>
      <c r="E25" s="60">
        <v>0.27708333333333335</v>
      </c>
      <c r="F25" s="59" t="s">
        <v>730</v>
      </c>
      <c r="G25" s="59" t="s">
        <v>729</v>
      </c>
      <c r="H25" s="59" t="s">
        <v>730</v>
      </c>
      <c r="I25" s="59" t="s">
        <v>809</v>
      </c>
      <c r="J25" s="68" t="s">
        <v>811</v>
      </c>
      <c r="K25" s="59"/>
      <c r="L25" s="59" t="s">
        <v>790</v>
      </c>
      <c r="M25" s="153" t="s">
        <v>254</v>
      </c>
    </row>
    <row r="26" spans="2:13" ht="60" x14ac:dyDescent="0.25">
      <c r="B26" s="81">
        <v>23</v>
      </c>
      <c r="C26" s="151">
        <v>45515</v>
      </c>
      <c r="D26" s="59" t="s">
        <v>808</v>
      </c>
      <c r="E26" s="60">
        <v>0.28819444444444448</v>
      </c>
      <c r="F26" s="59" t="s">
        <v>730</v>
      </c>
      <c r="G26" s="59" t="s">
        <v>729</v>
      </c>
      <c r="H26" s="59" t="s">
        <v>730</v>
      </c>
      <c r="I26" s="59" t="s">
        <v>809</v>
      </c>
      <c r="J26" s="59" t="s">
        <v>812</v>
      </c>
      <c r="K26" s="59"/>
      <c r="L26" s="59" t="s">
        <v>790</v>
      </c>
      <c r="M26" s="224" t="s">
        <v>256</v>
      </c>
    </row>
    <row r="27" spans="2:13" ht="45" x14ac:dyDescent="0.25">
      <c r="B27" s="81">
        <v>24</v>
      </c>
      <c r="C27" s="151">
        <v>45528</v>
      </c>
      <c r="D27" s="59" t="s">
        <v>813</v>
      </c>
      <c r="E27" s="60">
        <v>0.35694444444444445</v>
      </c>
      <c r="F27" s="59" t="s">
        <v>730</v>
      </c>
      <c r="G27" s="59" t="s">
        <v>729</v>
      </c>
      <c r="H27" s="59" t="s">
        <v>730</v>
      </c>
      <c r="I27" s="59" t="s">
        <v>814</v>
      </c>
      <c r="J27" s="40" t="s">
        <v>815</v>
      </c>
      <c r="K27" s="59"/>
      <c r="L27" s="59" t="s">
        <v>790</v>
      </c>
      <c r="M27" s="224" t="s">
        <v>261</v>
      </c>
    </row>
    <row r="28" spans="2:13" ht="75" x14ac:dyDescent="0.25">
      <c r="B28" s="81">
        <v>25</v>
      </c>
      <c r="C28" s="151">
        <v>45550</v>
      </c>
      <c r="D28" s="59" t="s">
        <v>741</v>
      </c>
      <c r="E28" s="60">
        <v>0.26250000000000001</v>
      </c>
      <c r="F28" s="59" t="s">
        <v>730</v>
      </c>
      <c r="G28" s="59" t="s">
        <v>729</v>
      </c>
      <c r="H28" s="59" t="s">
        <v>730</v>
      </c>
      <c r="I28" s="59" t="s">
        <v>814</v>
      </c>
      <c r="J28" s="59" t="s">
        <v>816</v>
      </c>
      <c r="K28" s="59"/>
      <c r="L28" s="59" t="s">
        <v>790</v>
      </c>
      <c r="M28" s="224" t="s">
        <v>282</v>
      </c>
    </row>
    <row r="29" spans="2:13" ht="45" x14ac:dyDescent="0.25">
      <c r="B29" s="81">
        <v>26</v>
      </c>
      <c r="C29" s="151">
        <v>45559</v>
      </c>
      <c r="D29" s="59" t="s">
        <v>741</v>
      </c>
      <c r="E29" s="60">
        <v>0.35694444444444445</v>
      </c>
      <c r="F29" s="59" t="s">
        <v>730</v>
      </c>
      <c r="G29" s="59" t="s">
        <v>729</v>
      </c>
      <c r="H29" s="59" t="s">
        <v>730</v>
      </c>
      <c r="I29" s="59" t="s">
        <v>817</v>
      </c>
      <c r="J29" s="40" t="s">
        <v>818</v>
      </c>
      <c r="K29" s="59"/>
      <c r="L29" s="59" t="s">
        <v>342</v>
      </c>
      <c r="M29" s="224" t="s">
        <v>307</v>
      </c>
    </row>
    <row r="30" spans="2:13" ht="45" x14ac:dyDescent="0.25">
      <c r="B30" s="81">
        <v>27</v>
      </c>
      <c r="C30" s="151">
        <v>45559</v>
      </c>
      <c r="D30" s="59" t="s">
        <v>741</v>
      </c>
      <c r="E30" s="131">
        <v>0.31805555555555554</v>
      </c>
      <c r="F30" s="59" t="s">
        <v>730</v>
      </c>
      <c r="G30" s="59" t="s">
        <v>729</v>
      </c>
      <c r="H30" s="59" t="s">
        <v>730</v>
      </c>
      <c r="I30" s="59" t="s">
        <v>809</v>
      </c>
      <c r="J30" s="40" t="s">
        <v>819</v>
      </c>
      <c r="K30" s="59"/>
      <c r="L30" s="59" t="s">
        <v>331</v>
      </c>
      <c r="M30" s="224" t="s">
        <v>308</v>
      </c>
    </row>
    <row r="31" spans="2:13" ht="60" x14ac:dyDescent="0.25">
      <c r="B31" s="81">
        <v>28</v>
      </c>
      <c r="C31" s="151">
        <v>45570</v>
      </c>
      <c r="D31" s="59" t="s">
        <v>741</v>
      </c>
      <c r="E31" s="131">
        <v>0.20972222222222223</v>
      </c>
      <c r="F31" s="59" t="s">
        <v>730</v>
      </c>
      <c r="G31" s="59" t="s">
        <v>729</v>
      </c>
      <c r="H31" s="59" t="s">
        <v>730</v>
      </c>
      <c r="I31" s="59" t="s">
        <v>814</v>
      </c>
      <c r="J31" s="40" t="s">
        <v>879</v>
      </c>
      <c r="K31" s="59"/>
      <c r="L31" s="59" t="s">
        <v>342</v>
      </c>
      <c r="M31" s="61" t="s">
        <v>878</v>
      </c>
    </row>
    <row r="32" spans="2:13" ht="45" x14ac:dyDescent="0.25">
      <c r="B32" s="81">
        <v>29</v>
      </c>
      <c r="C32" s="151">
        <v>45579</v>
      </c>
      <c r="D32" s="59" t="s">
        <v>887</v>
      </c>
      <c r="E32" s="60">
        <v>0.29236111111111113</v>
      </c>
      <c r="F32" s="59" t="s">
        <v>730</v>
      </c>
      <c r="G32" s="59" t="s">
        <v>729</v>
      </c>
      <c r="H32" s="59" t="s">
        <v>731</v>
      </c>
      <c r="I32" s="59" t="s">
        <v>888</v>
      </c>
      <c r="J32" s="59" t="s">
        <v>889</v>
      </c>
      <c r="K32" s="59"/>
      <c r="L32" s="59" t="s">
        <v>342</v>
      </c>
      <c r="M32" s="166" t="s">
        <v>883</v>
      </c>
    </row>
    <row r="33" spans="2:13" ht="189" x14ac:dyDescent="0.25">
      <c r="B33" s="81">
        <v>30</v>
      </c>
      <c r="C33" s="151">
        <v>45579</v>
      </c>
      <c r="D33" s="59" t="s">
        <v>741</v>
      </c>
      <c r="E33" s="60">
        <v>0.28680555555555554</v>
      </c>
      <c r="F33" s="59" t="s">
        <v>730</v>
      </c>
      <c r="G33" s="59" t="s">
        <v>729</v>
      </c>
      <c r="H33" s="59" t="s">
        <v>730</v>
      </c>
      <c r="I33" s="59" t="s">
        <v>938</v>
      </c>
      <c r="J33" s="59" t="s">
        <v>890</v>
      </c>
      <c r="K33" s="59"/>
      <c r="L33" s="59" t="s">
        <v>331</v>
      </c>
      <c r="M33" s="166" t="s">
        <v>884</v>
      </c>
    </row>
    <row r="34" spans="2:13" ht="78.75" x14ac:dyDescent="0.25">
      <c r="B34" s="81">
        <v>31</v>
      </c>
      <c r="C34" s="151">
        <v>45585</v>
      </c>
      <c r="D34" s="59" t="s">
        <v>741</v>
      </c>
      <c r="E34" s="60">
        <v>0.35972222222222222</v>
      </c>
      <c r="F34" s="59" t="s">
        <v>730</v>
      </c>
      <c r="G34" s="59" t="s">
        <v>729</v>
      </c>
      <c r="H34" s="59" t="s">
        <v>731</v>
      </c>
      <c r="I34" s="59" t="s">
        <v>892</v>
      </c>
      <c r="J34" s="59" t="s">
        <v>891</v>
      </c>
      <c r="K34" s="59"/>
      <c r="L34" s="59" t="s">
        <v>342</v>
      </c>
      <c r="M34" s="166" t="s">
        <v>885</v>
      </c>
    </row>
    <row r="35" spans="2:13" ht="45" x14ac:dyDescent="0.25">
      <c r="B35" s="81">
        <v>32</v>
      </c>
      <c r="C35" s="151">
        <v>45586</v>
      </c>
      <c r="D35" s="59" t="s">
        <v>893</v>
      </c>
      <c r="E35" s="60">
        <v>0.3659722222222222</v>
      </c>
      <c r="F35" s="59" t="s">
        <v>730</v>
      </c>
      <c r="G35" s="59" t="s">
        <v>729</v>
      </c>
      <c r="H35" s="59" t="s">
        <v>731</v>
      </c>
      <c r="I35" s="59" t="s">
        <v>938</v>
      </c>
      <c r="J35" s="72" t="s">
        <v>894</v>
      </c>
      <c r="K35" s="59"/>
      <c r="L35" s="59" t="s">
        <v>331</v>
      </c>
      <c r="M35" s="166" t="s">
        <v>886</v>
      </c>
    </row>
    <row r="36" spans="2:13" ht="45" x14ac:dyDescent="0.25">
      <c r="B36" s="81">
        <v>33</v>
      </c>
      <c r="C36" s="151">
        <v>45608</v>
      </c>
      <c r="D36" s="59" t="s">
        <v>908</v>
      </c>
      <c r="E36" s="60">
        <v>0.60833333333333328</v>
      </c>
      <c r="F36" s="59" t="s">
        <v>731</v>
      </c>
      <c r="G36" s="59" t="s">
        <v>729</v>
      </c>
      <c r="H36" s="59" t="s">
        <v>731</v>
      </c>
      <c r="I36" s="59" t="s">
        <v>909</v>
      </c>
      <c r="J36" s="72" t="s">
        <v>894</v>
      </c>
      <c r="K36" s="59"/>
      <c r="L36" s="59" t="s">
        <v>331</v>
      </c>
      <c r="M36" s="166" t="s">
        <v>911</v>
      </c>
    </row>
    <row r="37" spans="2:13" ht="45" x14ac:dyDescent="0.25">
      <c r="B37" s="81">
        <v>34</v>
      </c>
      <c r="C37" s="151">
        <v>45621</v>
      </c>
      <c r="D37" s="59" t="s">
        <v>935</v>
      </c>
      <c r="E37" s="60">
        <v>0.52986111111111112</v>
      </c>
      <c r="F37" s="59" t="s">
        <v>730</v>
      </c>
      <c r="G37" s="59" t="s">
        <v>729</v>
      </c>
      <c r="H37" s="59" t="s">
        <v>730</v>
      </c>
      <c r="I37" s="59" t="s">
        <v>921</v>
      </c>
      <c r="J37" s="61" t="s">
        <v>919</v>
      </c>
      <c r="K37" s="59"/>
      <c r="L37" s="59" t="s">
        <v>342</v>
      </c>
      <c r="M37" s="61" t="s">
        <v>920</v>
      </c>
    </row>
    <row r="38" spans="2:13" ht="45" x14ac:dyDescent="0.25">
      <c r="B38" s="81">
        <v>35</v>
      </c>
      <c r="C38" s="151">
        <v>45628</v>
      </c>
      <c r="D38" s="37" t="s">
        <v>728</v>
      </c>
      <c r="E38" s="60">
        <v>0.37152777777777773</v>
      </c>
      <c r="F38" s="59" t="s">
        <v>729</v>
      </c>
      <c r="G38" s="59" t="s">
        <v>730</v>
      </c>
      <c r="H38" s="59" t="s">
        <v>731</v>
      </c>
      <c r="I38" s="59" t="s">
        <v>1090</v>
      </c>
      <c r="J38" s="59" t="s">
        <v>940</v>
      </c>
      <c r="K38" s="59"/>
      <c r="L38" s="59" t="s">
        <v>342</v>
      </c>
      <c r="M38" s="61" t="s">
        <v>941</v>
      </c>
    </row>
    <row r="39" spans="2:13" ht="45" x14ac:dyDescent="0.25">
      <c r="B39" s="81">
        <v>36</v>
      </c>
      <c r="C39" s="151">
        <v>45635</v>
      </c>
      <c r="D39" s="37" t="s">
        <v>769</v>
      </c>
      <c r="E39" s="60">
        <v>0.43611111111111112</v>
      </c>
      <c r="F39" s="59" t="s">
        <v>778</v>
      </c>
      <c r="G39" s="59" t="s">
        <v>1005</v>
      </c>
      <c r="H39" s="59" t="s">
        <v>780</v>
      </c>
      <c r="I39" s="59" t="s">
        <v>888</v>
      </c>
      <c r="J39" s="59" t="s">
        <v>1006</v>
      </c>
      <c r="K39" s="59"/>
      <c r="L39" s="59" t="s">
        <v>342</v>
      </c>
      <c r="M39" s="61" t="s">
        <v>1004</v>
      </c>
    </row>
    <row r="40" spans="2:13" x14ac:dyDescent="0.25">
      <c r="B40" s="37"/>
      <c r="C40" s="59"/>
      <c r="D40" s="59"/>
      <c r="E40" s="59"/>
      <c r="F40" s="59"/>
      <c r="G40" s="59"/>
      <c r="H40" s="59"/>
      <c r="I40" s="59"/>
      <c r="J40" s="59"/>
      <c r="K40" s="59"/>
      <c r="L40" s="59"/>
      <c r="M40" s="61"/>
    </row>
  </sheetData>
  <autoFilter ref="C3:M40">
    <filterColumn colId="3" showButton="0"/>
  </autoFilter>
  <mergeCells count="4">
    <mergeCell ref="B1:D1"/>
    <mergeCell ref="E1:K1"/>
    <mergeCell ref="L1:M1"/>
    <mergeCell ref="F3:G3"/>
  </mergeCells>
  <pageMargins left="0.7" right="0.7" top="0.75" bottom="0.75" header="0.3" footer="0.3"/>
  <pageSetup scale="69"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zoomScale="89" zoomScaleNormal="89" workbookViewId="0">
      <selection activeCell="N4" sqref="N4"/>
    </sheetView>
  </sheetViews>
  <sheetFormatPr defaultRowHeight="15" x14ac:dyDescent="0.25"/>
  <cols>
    <col min="1" max="1" width="2.28515625" customWidth="1"/>
    <col min="2" max="2" width="11.85546875" customWidth="1"/>
    <col min="3" max="3" width="15.85546875" customWidth="1"/>
    <col min="4" max="4" width="29.28515625" customWidth="1"/>
    <col min="5" max="5" width="8.85546875" customWidth="1"/>
    <col min="6" max="6" width="11.140625" customWidth="1"/>
    <col min="7" max="7" width="7.7109375" customWidth="1"/>
    <col min="8" max="8" width="13.28515625" customWidth="1"/>
    <col min="9" max="9" width="8.5703125" customWidth="1"/>
    <col min="10" max="10" width="11" customWidth="1"/>
    <col min="11" max="11" width="8.28515625" customWidth="1"/>
    <col min="12" max="12" width="11.28515625" customWidth="1"/>
    <col min="13" max="13" width="7.28515625" customWidth="1"/>
    <col min="14" max="14" width="14.7109375" customWidth="1"/>
    <col min="15" max="15" width="10.5703125" customWidth="1"/>
    <col min="16" max="16" width="17" customWidth="1"/>
    <col min="17" max="17" width="18.5703125" customWidth="1"/>
  </cols>
  <sheetData>
    <row r="1" spans="1:17" ht="81" customHeight="1" thickBot="1" x14ac:dyDescent="0.3">
      <c r="A1" t="s">
        <v>820</v>
      </c>
      <c r="B1" s="343"/>
      <c r="C1" s="344"/>
      <c r="D1" s="344"/>
      <c r="E1" s="353" t="s">
        <v>821</v>
      </c>
      <c r="F1" s="354"/>
      <c r="G1" s="354"/>
      <c r="H1" s="354"/>
      <c r="I1" s="354"/>
      <c r="J1" s="354"/>
      <c r="K1" s="355"/>
      <c r="L1" s="356" t="s">
        <v>399</v>
      </c>
      <c r="M1" s="357"/>
      <c r="N1" s="357"/>
      <c r="O1" s="357"/>
      <c r="P1" s="357"/>
      <c r="Q1" s="358"/>
    </row>
    <row r="2" spans="1:17" ht="20.25" customHeight="1" thickBot="1" x14ac:dyDescent="0.3">
      <c r="B2" s="349" t="s">
        <v>822</v>
      </c>
      <c r="C2" s="349" t="s">
        <v>823</v>
      </c>
      <c r="D2" s="347" t="s">
        <v>824</v>
      </c>
      <c r="E2" s="345" t="s">
        <v>825</v>
      </c>
      <c r="F2" s="346"/>
      <c r="G2" s="347"/>
      <c r="H2" s="352"/>
      <c r="I2" s="347" t="s">
        <v>826</v>
      </c>
      <c r="J2" s="347"/>
      <c r="K2" s="347"/>
      <c r="L2" s="347"/>
      <c r="M2" s="345" t="s">
        <v>8</v>
      </c>
      <c r="N2" s="346"/>
      <c r="O2" s="346"/>
      <c r="P2" s="346"/>
      <c r="Q2" s="341" t="s">
        <v>827</v>
      </c>
    </row>
    <row r="3" spans="1:17" ht="39.75" customHeight="1" thickBot="1" x14ac:dyDescent="0.3">
      <c r="B3" s="351"/>
      <c r="C3" s="350"/>
      <c r="D3" s="348"/>
      <c r="E3" s="1" t="s">
        <v>828</v>
      </c>
      <c r="F3" s="2" t="s">
        <v>829</v>
      </c>
      <c r="G3" s="3" t="s">
        <v>830</v>
      </c>
      <c r="H3" s="4" t="s">
        <v>831</v>
      </c>
      <c r="I3" s="1" t="s">
        <v>828</v>
      </c>
      <c r="J3" s="1" t="s">
        <v>829</v>
      </c>
      <c r="K3" s="3" t="s">
        <v>830</v>
      </c>
      <c r="L3" s="3" t="s">
        <v>831</v>
      </c>
      <c r="M3" s="219" t="s">
        <v>114</v>
      </c>
      <c r="N3" s="220" t="s">
        <v>832</v>
      </c>
      <c r="O3" s="220" t="s">
        <v>833</v>
      </c>
      <c r="P3" s="219" t="s">
        <v>10</v>
      </c>
      <c r="Q3" s="342"/>
    </row>
    <row r="4" spans="1:17" ht="45" x14ac:dyDescent="0.25">
      <c r="B4" s="201" t="s">
        <v>834</v>
      </c>
      <c r="C4" s="202">
        <v>45559</v>
      </c>
      <c r="D4" s="51" t="s">
        <v>835</v>
      </c>
      <c r="E4" s="47" t="s">
        <v>836</v>
      </c>
      <c r="F4" s="47">
        <v>1</v>
      </c>
      <c r="G4" s="206" t="s">
        <v>837</v>
      </c>
      <c r="H4" s="204" t="s">
        <v>838</v>
      </c>
      <c r="I4" s="51" t="s">
        <v>29</v>
      </c>
      <c r="J4" s="51" t="s">
        <v>29</v>
      </c>
      <c r="K4" s="51" t="s">
        <v>29</v>
      </c>
      <c r="L4" s="51" t="s">
        <v>29</v>
      </c>
      <c r="M4" s="51" t="s">
        <v>114</v>
      </c>
      <c r="N4" s="203">
        <v>45596</v>
      </c>
      <c r="O4" s="51"/>
      <c r="P4" s="51"/>
      <c r="Q4" s="51" t="s">
        <v>839</v>
      </c>
    </row>
    <row r="5" spans="1:17" ht="45" x14ac:dyDescent="0.25">
      <c r="B5" s="201" t="s">
        <v>840</v>
      </c>
      <c r="C5" s="202">
        <v>45559</v>
      </c>
      <c r="D5" s="51" t="s">
        <v>841</v>
      </c>
      <c r="E5" s="47" t="s">
        <v>836</v>
      </c>
      <c r="F5" s="47">
        <v>1</v>
      </c>
      <c r="G5" s="206" t="s">
        <v>837</v>
      </c>
      <c r="H5" s="204" t="s">
        <v>838</v>
      </c>
      <c r="I5" s="51" t="s">
        <v>29</v>
      </c>
      <c r="J5" s="51" t="s">
        <v>29</v>
      </c>
      <c r="K5" s="51" t="s">
        <v>29</v>
      </c>
      <c r="L5" s="51" t="s">
        <v>29</v>
      </c>
      <c r="M5" s="51" t="s">
        <v>114</v>
      </c>
      <c r="N5" s="203">
        <v>45596</v>
      </c>
      <c r="O5" s="51"/>
      <c r="P5" s="51"/>
      <c r="Q5" s="51" t="s">
        <v>839</v>
      </c>
    </row>
    <row r="6" spans="1:17" ht="45" x14ac:dyDescent="0.25">
      <c r="B6" s="201" t="s">
        <v>842</v>
      </c>
      <c r="C6" s="202">
        <v>45559</v>
      </c>
      <c r="D6" s="51" t="s">
        <v>843</v>
      </c>
      <c r="E6" s="47" t="s">
        <v>844</v>
      </c>
      <c r="F6" s="47">
        <v>3</v>
      </c>
      <c r="G6" s="207" t="s">
        <v>845</v>
      </c>
      <c r="H6" s="205" t="s">
        <v>846</v>
      </c>
      <c r="I6" s="51" t="s">
        <v>844</v>
      </c>
      <c r="J6" s="51">
        <v>1</v>
      </c>
      <c r="K6" s="51" t="s">
        <v>847</v>
      </c>
      <c r="L6" s="204" t="s">
        <v>838</v>
      </c>
      <c r="M6" s="51" t="s">
        <v>114</v>
      </c>
      <c r="N6" s="203">
        <v>45596</v>
      </c>
      <c r="O6" s="51"/>
      <c r="P6" s="51" t="s">
        <v>848</v>
      </c>
      <c r="Q6" s="51" t="s">
        <v>849</v>
      </c>
    </row>
    <row r="7" spans="1:17" x14ac:dyDescent="0.25">
      <c r="B7" s="201"/>
      <c r="C7" s="51"/>
      <c r="D7" s="51"/>
      <c r="E7" s="47"/>
      <c r="F7" s="47"/>
      <c r="G7" s="47"/>
      <c r="H7" s="51"/>
      <c r="I7" s="51"/>
      <c r="J7" s="51"/>
      <c r="K7" s="51"/>
      <c r="L7" s="51"/>
      <c r="M7" s="51"/>
      <c r="N7" s="51"/>
      <c r="O7" s="51"/>
      <c r="P7" s="51"/>
      <c r="Q7" s="51"/>
    </row>
  </sheetData>
  <mergeCells count="10">
    <mergeCell ref="Q2:Q3"/>
    <mergeCell ref="B1:D1"/>
    <mergeCell ref="M2:P2"/>
    <mergeCell ref="D2:D3"/>
    <mergeCell ref="C2:C3"/>
    <mergeCell ref="B2:B3"/>
    <mergeCell ref="E2:H2"/>
    <mergeCell ref="I2:L2"/>
    <mergeCell ref="E1:K1"/>
    <mergeCell ref="L1:Q1"/>
  </mergeCells>
  <pageMargins left="0.25" right="0.25" top="0.25" bottom="0.25" header="0.25" footer="0.25"/>
  <pageSetup paperSize="9" scale="72"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 logsheet 2024 working</vt:lpstr>
      <vt:lpstr>Occurrence-Log-sheet-2024 </vt:lpstr>
      <vt:lpstr>Safety deficiencies 2024</vt:lpstr>
      <vt:lpstr>Hazard-logsheet-2024</vt:lpstr>
      <vt:lpstr>Flight diversion report-2024</vt:lpstr>
      <vt:lpstr>Risk Register-sheet-2024</vt:lpstr>
      <vt:lpstr>'Occurrence-Log-sheet-2024 '!Print_Titles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2025-08-13T11:05:36Z</dcterms:modified>
</cp:coreProperties>
</file>